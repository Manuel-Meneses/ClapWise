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os" sheetId="1" r:id="rId4"/>
    <sheet state="visible" name="Tapas" sheetId="2" r:id="rId5"/>
    <sheet state="visible" name="Baterias" sheetId="3" r:id="rId6"/>
    <sheet state="visible" name="Partes Chicas" sheetId="4" r:id="rId7"/>
  </sheets>
  <definedNames>
    <definedName hidden="1" localSheetId="0" name="_xlnm._FilterDatabase">Modulos!$B$36:$B$37</definedName>
  </definedNames>
  <calcPr/>
  <extLst>
    <ext uri="GoogleSheetsCustomDataVersion2">
      <go:sheetsCustomData xmlns:go="http://customooxmlschemas.google.com/" r:id="rId8" roundtripDataChecksum="vqA0WrE2GfUgg2HiQIcvdijBbr/a66j/FtKGpMC7XtU="/>
    </ext>
  </extLst>
</workbook>
</file>

<file path=xl/sharedStrings.xml><?xml version="1.0" encoding="utf-8"?>
<sst xmlns="http://schemas.openxmlformats.org/spreadsheetml/2006/main" count="2384" uniqueCount="2235">
  <si>
    <t>BATERIAS</t>
  </si>
  <si>
    <t>PARTES CHICAS</t>
  </si>
  <si>
    <t>Descripción</t>
  </si>
  <si>
    <t>Precio</t>
  </si>
  <si>
    <t>Efectivo</t>
  </si>
  <si>
    <t>SAMSUNG</t>
  </si>
  <si>
    <t>A01</t>
  </si>
  <si>
    <t>Proximo ingreso</t>
  </si>
  <si>
    <t>PLACAS DE CARGA</t>
  </si>
  <si>
    <t>PRECIO</t>
  </si>
  <si>
    <t>A01 CORE</t>
  </si>
  <si>
    <t>PLACA ORI TURBO SAM A01</t>
  </si>
  <si>
    <t xml:space="preserve">A02s/A03s/A03/A04/A04e </t>
  </si>
  <si>
    <t>MODULOS</t>
  </si>
  <si>
    <t xml:space="preserve">SLC-50 - HQ-50S -A02S/A03S/A03/A04E/A04/A22 5G </t>
  </si>
  <si>
    <t xml:space="preserve">PLACA ORI TURBO SAM A02   </t>
  </si>
  <si>
    <t>PLACA ORI TURBO SAM A02S / A03S</t>
  </si>
  <si>
    <t>STOCK DIPONIBLE</t>
  </si>
  <si>
    <t xml:space="preserve">PLACA ORI TURBO SAM A03 A035F </t>
  </si>
  <si>
    <t>PLACA DE CARGA ORIGINAL EQUIPO A03</t>
  </si>
  <si>
    <t>A02/A12/M12/A21S/A13/A04s</t>
  </si>
  <si>
    <t>EB-BA217ABY A12/a21s/a02/a13 4g/a04s/A14 4g</t>
  </si>
  <si>
    <t xml:space="preserve">A03 CORE </t>
  </si>
  <si>
    <t xml:space="preserve">PLACA ORI TURBO SAM A03 CORE  </t>
  </si>
  <si>
    <t>A05</t>
  </si>
  <si>
    <t xml:space="preserve">PLACA ORI TURBO SAM A04  </t>
  </si>
  <si>
    <t>TAPAS</t>
  </si>
  <si>
    <t>CODIGO</t>
  </si>
  <si>
    <t>AX17378</t>
  </si>
  <si>
    <t>M12 multiversion</t>
  </si>
  <si>
    <t>MOD-A12-A02-MULT-CRMEC</t>
  </si>
  <si>
    <t>M12 CROWN/MECANICO/PREMIUM</t>
  </si>
  <si>
    <t>M12 / A127 c/m</t>
  </si>
  <si>
    <t>M13 A135F</t>
  </si>
  <si>
    <t>M20</t>
  </si>
  <si>
    <t>M23</t>
  </si>
  <si>
    <t>M23 meacnico</t>
  </si>
  <si>
    <t>13083-7</t>
  </si>
  <si>
    <t>EB-BA750ABY -A10/A17 2018</t>
  </si>
  <si>
    <t>M55 oled c/m</t>
  </si>
  <si>
    <t xml:space="preserve">A10/M10/A7 2018 </t>
  </si>
  <si>
    <t>A10S/A11/A20S</t>
  </si>
  <si>
    <t>nuevo</t>
  </si>
  <si>
    <t xml:space="preserve">A01 core </t>
  </si>
  <si>
    <t xml:space="preserve">EB-BA207ABY - HQ-70N - WT-N6 -A10S/A20S/A11 </t>
  </si>
  <si>
    <t xml:space="preserve">CODIGO </t>
  </si>
  <si>
    <t xml:space="preserve">A13 </t>
  </si>
  <si>
    <t>A14</t>
  </si>
  <si>
    <t>A01 core mecanico</t>
  </si>
  <si>
    <t>MODELO</t>
  </si>
  <si>
    <t>EB-BA146ABY A14 5g</t>
  </si>
  <si>
    <t>A15</t>
  </si>
  <si>
    <t xml:space="preserve">A01 </t>
  </si>
  <si>
    <t>EB-BA166ABY - EB-BA156ABY A15</t>
  </si>
  <si>
    <t>TAPAJ2PR</t>
  </si>
  <si>
    <t>A01 MECANICO-CROEN-CVT-PREMIUN</t>
  </si>
  <si>
    <t>A16</t>
  </si>
  <si>
    <t>A20/A30/A30s/A50</t>
  </si>
  <si>
    <t>EB-BA505ABU A20/a30/a50/a30s</t>
  </si>
  <si>
    <t xml:space="preserve">A22 4G/A32/A31 </t>
  </si>
  <si>
    <t>EB-BA315ABY ---A32/A31/A22 4G</t>
  </si>
  <si>
    <t>A02</t>
  </si>
  <si>
    <t xml:space="preserve">A23/A73/M23/M33/M52/M53  </t>
  </si>
  <si>
    <t>A02 /A12 MULTIVERSION  MECANICO -CROWN-CVT-PREMIUM</t>
  </si>
  <si>
    <t>EB-BM526ABY EB-BM135ABS A23 4g/A23 5g/M23/M53/M33/A73</t>
  </si>
  <si>
    <t>MOD-SAM-A02-MARCO</t>
  </si>
  <si>
    <t xml:space="preserve">A02 c/m </t>
  </si>
  <si>
    <t>A02S/M</t>
  </si>
  <si>
    <t>A02S c/m</t>
  </si>
  <si>
    <t>PLACA DE CARGA ORIGINAL EQUIPO A04</t>
  </si>
  <si>
    <t xml:space="preserve">PLACA ORI TURBO SAM A04E </t>
  </si>
  <si>
    <t xml:space="preserve">PLACA ORI TURBO SAM A04S </t>
  </si>
  <si>
    <t xml:space="preserve">SAMSUNG J2 PRIME </t>
  </si>
  <si>
    <t>PLACA DE CARGA ORIGINAL EQUIPO A04s</t>
  </si>
  <si>
    <t>PLACA ORI TURBO SAM A05</t>
  </si>
  <si>
    <t>PLACA DE CARGA ORIGINAL EQUIPO A05</t>
  </si>
  <si>
    <t>A33 / A53</t>
  </si>
  <si>
    <t>A33/A53 ORIGINAL</t>
  </si>
  <si>
    <t>sin stock</t>
  </si>
  <si>
    <t>A02S/A03S/A03 /A04E</t>
  </si>
  <si>
    <t xml:space="preserve">A51 </t>
  </si>
  <si>
    <t>PLACA ORI TURBO SAM A06</t>
  </si>
  <si>
    <t>PLACA DE CARGA ORIGINAL EQUIPO A06</t>
  </si>
  <si>
    <t>EB-BA515ABY ---A51</t>
  </si>
  <si>
    <t>TAP-SMJ7</t>
  </si>
  <si>
    <t xml:space="preserve">PLACA ORI TURBO SAM A10  </t>
  </si>
  <si>
    <t xml:space="preserve">A52/A52s/S20 FE </t>
  </si>
  <si>
    <t xml:space="preserve">SAMSUNG J7/J7 NEO </t>
  </si>
  <si>
    <t>EB-BA525ABY ---A52/S20 FE</t>
  </si>
  <si>
    <t>PLACA ORI TURBO SAM A10S M16 /M15</t>
  </si>
  <si>
    <t>A52/A52s/S20 FE orig</t>
  </si>
  <si>
    <t>PLACA ORI TURBO SAM A11</t>
  </si>
  <si>
    <t>A54 / A34</t>
  </si>
  <si>
    <t>TAPA-J7PR</t>
  </si>
  <si>
    <t>MOD-SAM-02S0304E-CR-MEC</t>
  </si>
  <si>
    <t xml:space="preserve">A54 / A34 /A35/A25/A56 ORIGINAL </t>
  </si>
  <si>
    <t>SAMSUNG J7 PRO</t>
  </si>
  <si>
    <t>PLACA ORI TURBO SAM A12 / M12</t>
  </si>
  <si>
    <t>A02s/A03S/A03/A04e MECANICO / CROWN /CVT / PREMIUM</t>
  </si>
  <si>
    <t>A55</t>
  </si>
  <si>
    <t>A56</t>
  </si>
  <si>
    <t>PLACA DE CARGA ORIGINAL EQUIPO A12 -M12</t>
  </si>
  <si>
    <t>SAMSUNG A01</t>
  </si>
  <si>
    <t>S21 FE</t>
  </si>
  <si>
    <t>S21 ULTRA</t>
  </si>
  <si>
    <t>TAPA-A01-CORE</t>
  </si>
  <si>
    <t>SAMSUNG A01 CORE</t>
  </si>
  <si>
    <t>PLACA ORI TURBO SAM A13 4G</t>
  </si>
  <si>
    <t>S22</t>
  </si>
  <si>
    <t>S22 ULTRA</t>
  </si>
  <si>
    <t>PLACA DE CARGA ORIGINAL EQUIPO A13 4G</t>
  </si>
  <si>
    <t>S23</t>
  </si>
  <si>
    <t>PLACA ORI TURBO SAM A13 5G</t>
  </si>
  <si>
    <t>S23 ULTRA</t>
  </si>
  <si>
    <t>PLACA ORI TURBO SAM A14 4G</t>
  </si>
  <si>
    <t xml:space="preserve">S24 </t>
  </si>
  <si>
    <t>PLACA ORI TURBO SAM A14 5G</t>
  </si>
  <si>
    <t>S24 ULTRA</t>
  </si>
  <si>
    <t>S25 ULTRA</t>
  </si>
  <si>
    <t>TAPA-SAM-A02-NEGRA</t>
  </si>
  <si>
    <t>PLACA ORI TURBO SAM A15</t>
  </si>
  <si>
    <t>SAMSUNG A02</t>
  </si>
  <si>
    <t xml:space="preserve">J4 PLUS/J6 PLUS/J4 CORE/J7 PRIME </t>
  </si>
  <si>
    <t>J5 PRIME</t>
  </si>
  <si>
    <t>PLACA DE CARGA ORIGINAL EQUIPO A15</t>
  </si>
  <si>
    <t xml:space="preserve">J5 2016 </t>
  </si>
  <si>
    <t xml:space="preserve">SAMSUNG A02S </t>
  </si>
  <si>
    <t xml:space="preserve">J6 </t>
  </si>
  <si>
    <t>PLACA ORI TURBO SAM A16 5G</t>
  </si>
  <si>
    <t xml:space="preserve">J7/J7 NEO/J4 </t>
  </si>
  <si>
    <t xml:space="preserve">SAMSUNG A03 </t>
  </si>
  <si>
    <t xml:space="preserve">J7 16 </t>
  </si>
  <si>
    <t>PLACA DE CARGA ORIGINAL EQUIPO A16</t>
  </si>
  <si>
    <t xml:space="preserve">J2 PRIME/GRAND PRIME/J320/J2 CORE/J5 </t>
  </si>
  <si>
    <t>TP-A03CR</t>
  </si>
  <si>
    <t>SAMSUNG A03 CORE</t>
  </si>
  <si>
    <t>MOTOROLA</t>
  </si>
  <si>
    <t>PLACA ORI TURBO SAM A17</t>
  </si>
  <si>
    <t>TP-A03S</t>
  </si>
  <si>
    <t>SAMSUNG A03S</t>
  </si>
  <si>
    <t xml:space="preserve">PLACA ORI TURBO SAM A20 </t>
  </si>
  <si>
    <t>PLACA ORI TURBO SAM A20S M12 / M14</t>
  </si>
  <si>
    <t>SAMSUNG A04</t>
  </si>
  <si>
    <t xml:space="preserve">PLACA ORI TURBO SAM A21S </t>
  </si>
  <si>
    <t xml:space="preserve">SAMSUNG A04E </t>
  </si>
  <si>
    <t>PLACA DE CARGA ORIGINAL EQUIPO A21S</t>
  </si>
  <si>
    <t>TP-SM-A04S</t>
  </si>
  <si>
    <t>PLACA ORI TURBO SAM A22 4G</t>
  </si>
  <si>
    <t>SAMSUNG A04S</t>
  </si>
  <si>
    <t>PLACA ORI TURBO SAM A22 5G</t>
  </si>
  <si>
    <t>TP-SMA05</t>
  </si>
  <si>
    <t>A03s c/m</t>
  </si>
  <si>
    <t>SAMSUNG A05</t>
  </si>
  <si>
    <t>PLACA DE CARGA ORIGINAL EQUIPO A22 5G</t>
  </si>
  <si>
    <t>TP-SMA06</t>
  </si>
  <si>
    <t>SAMSUNG A06</t>
  </si>
  <si>
    <t>E5 PLAY JE30</t>
  </si>
  <si>
    <t xml:space="preserve">A03 c/m </t>
  </si>
  <si>
    <t>PLACA ORI TURBO SAM A23 4G</t>
  </si>
  <si>
    <t>TP-SAMA10</t>
  </si>
  <si>
    <t>MOD-SA03CM-MEC</t>
  </si>
  <si>
    <t>SAMSUNG A10</t>
  </si>
  <si>
    <t>A03 c/m MECANICO</t>
  </si>
  <si>
    <t>PLACA DE CARGA ORIGINAL EQUIPO A23 4G</t>
  </si>
  <si>
    <t>SAMSUNG A10S</t>
  </si>
  <si>
    <t xml:space="preserve">A03 Core </t>
  </si>
  <si>
    <t>PLACA ORI TURBO SAM A24</t>
  </si>
  <si>
    <t>A03-COR-MEC</t>
  </si>
  <si>
    <t>A03 CORE MECANICO/CROWN/CVT/PREMIUM</t>
  </si>
  <si>
    <t xml:space="preserve">SAMSUNG A11 </t>
  </si>
  <si>
    <t>PLACA ORI TURBO SAM A25</t>
  </si>
  <si>
    <t>E4 PLUS / E5 PLUS</t>
  </si>
  <si>
    <t>MSAM03COCM</t>
  </si>
  <si>
    <t>A03 CORE C/MARCO MECANICO</t>
  </si>
  <si>
    <t>PLACA DE CARGA ORIGINAL EQUIPO A26</t>
  </si>
  <si>
    <t xml:space="preserve">A04 </t>
  </si>
  <si>
    <t>A04CRW</t>
  </si>
  <si>
    <t xml:space="preserve">SAMSUNG A12 </t>
  </si>
  <si>
    <t>A04 MECANICO / CROWN / CVT / PREMIUN</t>
  </si>
  <si>
    <t>MOD-A04-MECR/MAR</t>
  </si>
  <si>
    <t xml:space="preserve">SAMSUNG A13 4G </t>
  </si>
  <si>
    <t>A04 C/MARCO MECANICO CROWN / CVT / PREMIUM</t>
  </si>
  <si>
    <t>TAPA SAMSUNG A14</t>
  </si>
  <si>
    <t>SAMSUNG A14</t>
  </si>
  <si>
    <t>A04 c/m</t>
  </si>
  <si>
    <t>SAMSUNG A15</t>
  </si>
  <si>
    <t xml:space="preserve">A04s </t>
  </si>
  <si>
    <t>A04S MECANICO / CVT/CROWN/PREMIUM</t>
  </si>
  <si>
    <t>PLACA ORI TURBO SAM A30</t>
  </si>
  <si>
    <t>A04SCM</t>
  </si>
  <si>
    <t>A04s c/m</t>
  </si>
  <si>
    <t>PLACA ORI TURBO SAM A30S</t>
  </si>
  <si>
    <t>A04e mecanico/crown</t>
  </si>
  <si>
    <t xml:space="preserve">PLACA ORI TURBO SAM A31 </t>
  </si>
  <si>
    <t>E6 PLUS</t>
  </si>
  <si>
    <t>MOD-SAM-A04E-MARCO</t>
  </si>
  <si>
    <t>PLACA ORI TURBO SAM A32 4G</t>
  </si>
  <si>
    <t>A04e c/m</t>
  </si>
  <si>
    <t>E6S/E6I  KS40</t>
  </si>
  <si>
    <t>PLACA DE CARGA ORIGINAL EQUIPO A32 4G</t>
  </si>
  <si>
    <t>MSAMA05SM</t>
  </si>
  <si>
    <r>
      <rPr>
        <rFont val="Calibri"/>
        <b/>
        <color rgb="FF000000"/>
        <sz val="14.0"/>
      </rPr>
      <t xml:space="preserve">G/G2 </t>
    </r>
    <r>
      <rPr>
        <rFont val="Calibri"/>
        <b/>
        <color rgb="FF6FA8DC"/>
        <sz val="14.0"/>
      </rPr>
      <t>ED30</t>
    </r>
  </si>
  <si>
    <t>PLACA ORI TURBO SAM A33</t>
  </si>
  <si>
    <t>MOD-A05-CRMEC</t>
  </si>
  <si>
    <t>TPA-A20</t>
  </si>
  <si>
    <t>PLACA ORI TURBO SAM A34</t>
  </si>
  <si>
    <t>A05 CROWN / MECANICO / CVT / PREMIUM</t>
  </si>
  <si>
    <r>
      <rPr>
        <rFont val="Calibri"/>
        <b/>
        <color rgb="FF000000"/>
        <sz val="14.0"/>
      </rPr>
      <t xml:space="preserve">G3 </t>
    </r>
    <r>
      <rPr>
        <rFont val="Calibri"/>
        <b/>
        <color rgb="FF000000"/>
        <sz val="14.0"/>
      </rPr>
      <t>FC40</t>
    </r>
    <r>
      <rPr>
        <rFont val="Calibri"/>
        <b/>
        <color rgb="FF000000"/>
        <sz val="14.0"/>
      </rPr>
      <t xml:space="preserve"> </t>
    </r>
  </si>
  <si>
    <t>SAMSUNG A20</t>
  </si>
  <si>
    <t>PLACA DE CARGA ORIGINAL EQUIPO A34</t>
  </si>
  <si>
    <t>MOD-A05/MAR</t>
  </si>
  <si>
    <t>A05 c/m</t>
  </si>
  <si>
    <t xml:space="preserve">G4 PLAY/G5/MOTO C </t>
  </si>
  <si>
    <t xml:space="preserve">SAMSUNG A20S </t>
  </si>
  <si>
    <t>PLACA ORI TURBO SAM A35</t>
  </si>
  <si>
    <t>SAM-A05S-MOD</t>
  </si>
  <si>
    <t>TAPA-A21S-NEG</t>
  </si>
  <si>
    <t>PLACA ORI TURBO SAM A36</t>
  </si>
  <si>
    <r>
      <rPr>
        <rFont val="Calibri"/>
        <b/>
        <color rgb="FF000000"/>
        <sz val="14.0"/>
      </rPr>
      <t>G5S/G5S PLUS/G6</t>
    </r>
    <r>
      <rPr>
        <rFont val="Calibri"/>
        <b/>
        <color rgb="FF000000"/>
        <sz val="14.0"/>
      </rPr>
      <t xml:space="preserve"> HG30 </t>
    </r>
  </si>
  <si>
    <t>A05s</t>
  </si>
  <si>
    <t>SAMSUNG A21S</t>
  </si>
  <si>
    <t xml:space="preserve">PLACA ORI TURBO SAM A50 </t>
  </si>
  <si>
    <r>
      <rPr>
        <rFont val="Calibri"/>
        <b/>
        <color rgb="FF000000"/>
        <sz val="14.0"/>
      </rPr>
      <t xml:space="preserve">G6 PLUS </t>
    </r>
    <r>
      <rPr>
        <rFont val="Calibri"/>
        <b/>
        <color rgb="FF000000"/>
        <sz val="14.0"/>
      </rPr>
      <t xml:space="preserve">JT40 </t>
    </r>
  </si>
  <si>
    <t>TAPA-SAM-A22-4G-BL</t>
  </si>
  <si>
    <t>MSAMA06</t>
  </si>
  <si>
    <t>A06</t>
  </si>
  <si>
    <t>PLACA ORI TURBO SAM A51</t>
  </si>
  <si>
    <t>SAMSUNG A22 4G</t>
  </si>
  <si>
    <t xml:space="preserve">G6 PLAY / E5 </t>
  </si>
  <si>
    <t>A06CRW</t>
  </si>
  <si>
    <t>PLACA DE CARGA ORIGINAL EQUIPO A51</t>
  </si>
  <si>
    <t>A06 CROWN / MECANICO /CVT / PREMIUM</t>
  </si>
  <si>
    <t>TPA-SAM-A225G</t>
  </si>
  <si>
    <t>SAMSUNG A22 5G</t>
  </si>
  <si>
    <r>
      <rPr>
        <rFont val="Calibri"/>
        <b/>
        <color rgb="FF000000"/>
        <sz val="14.0"/>
      </rPr>
      <t xml:space="preserve">G7 </t>
    </r>
    <r>
      <rPr>
        <rFont val="Calibri"/>
        <b/>
        <color rgb="FF000000"/>
        <sz val="14.0"/>
      </rPr>
      <t xml:space="preserve">JG30 </t>
    </r>
  </si>
  <si>
    <t>PLACA ORI TURBO SAM A52</t>
  </si>
  <si>
    <t>MSAMA06CM</t>
  </si>
  <si>
    <t>A06 c/m Mecanico</t>
  </si>
  <si>
    <t xml:space="preserve">G7 PLUS JG40 </t>
  </si>
  <si>
    <t>TP-SA23</t>
  </si>
  <si>
    <t>PLACA DE CARGA ORIGINAL EQUIPO A52</t>
  </si>
  <si>
    <t>SAMSUNG A23 4G</t>
  </si>
  <si>
    <t xml:space="preserve">G7 PLAY/ONE  JE40 </t>
  </si>
  <si>
    <t>13992-2</t>
  </si>
  <si>
    <t>A07</t>
  </si>
  <si>
    <t>TP-SM-A24</t>
  </si>
  <si>
    <t>SAMSUNG A24 4G</t>
  </si>
  <si>
    <t>A10 c/m</t>
  </si>
  <si>
    <t>PLACA ORI TURBO SAM A53</t>
  </si>
  <si>
    <t>TP-SM-A25</t>
  </si>
  <si>
    <t xml:space="preserve">G8 PLUS KD40 </t>
  </si>
  <si>
    <t>SAMSUNG A25</t>
  </si>
  <si>
    <t>37513-A10</t>
  </si>
  <si>
    <t>E7/G8 PLAY/G8 / ONE MACRO KG40</t>
  </si>
  <si>
    <t>A10 / M10</t>
  </si>
  <si>
    <t>SAMSUNG A30</t>
  </si>
  <si>
    <t>E7/G8 PLAY/G8 / ONE MACRO KG40 ORIGINAL</t>
  </si>
  <si>
    <t>A10CRW</t>
  </si>
  <si>
    <t>PLACA ORI TURBO SAM A54</t>
  </si>
  <si>
    <t xml:space="preserve">SAMSUNG A30S </t>
  </si>
  <si>
    <t>A10 / M10 CROWN/MECANICO</t>
  </si>
  <si>
    <t xml:space="preserve">G8 POWER KZ50 </t>
  </si>
  <si>
    <t>PLACA DE CARGA ORIGINAL EQUIPO A54</t>
  </si>
  <si>
    <t>TP-SM-A31</t>
  </si>
  <si>
    <t xml:space="preserve">A10s </t>
  </si>
  <si>
    <t>SAMSUNG A31</t>
  </si>
  <si>
    <t xml:space="preserve">G9 POWER MC50 </t>
  </si>
  <si>
    <t>PLACA ORI TURBO SAM A55</t>
  </si>
  <si>
    <t>A10SCRW</t>
  </si>
  <si>
    <t xml:space="preserve">G9 PLUS MG50 </t>
  </si>
  <si>
    <t>TP-SMA32</t>
  </si>
  <si>
    <t>PLACA ORI TURBO SAM A56</t>
  </si>
  <si>
    <t>A10s CROWN/MECANICO</t>
  </si>
  <si>
    <t>SAMSUNG A32 5G</t>
  </si>
  <si>
    <t xml:space="preserve">PLACA ORI TURBO SAM A70 </t>
  </si>
  <si>
    <t xml:space="preserve">SAMSUNG A33 </t>
  </si>
  <si>
    <t>A10s c/m</t>
  </si>
  <si>
    <t>PLACA ORI TURBO SAM A71</t>
  </si>
  <si>
    <t>PLACA ORI TURBO SAM A72</t>
  </si>
  <si>
    <t>A11</t>
  </si>
  <si>
    <t>SAMSUNG A34</t>
  </si>
  <si>
    <t>PLACA ORI TURBO SAM A73</t>
  </si>
  <si>
    <t>MOD-A11-CRMEC-CVT</t>
  </si>
  <si>
    <t>A11 mecanico/crown</t>
  </si>
  <si>
    <t>SAMSUNG A35</t>
  </si>
  <si>
    <t xml:space="preserve">PLACA ORI TURBO SAM S20 FE G780 </t>
  </si>
  <si>
    <t xml:space="preserve">G42 ND50 </t>
  </si>
  <si>
    <t>PLACA ORIGINAL S20 FE 5G</t>
  </si>
  <si>
    <t xml:space="preserve">A12 / M12 multiversion </t>
  </si>
  <si>
    <t xml:space="preserve">SAMSUNG A51 </t>
  </si>
  <si>
    <t>PLACA DE CARGA ORIGINAL EQUIPO S20 FE</t>
  </si>
  <si>
    <t>G60S LK50 ORIGINAL 100% SERVICE PACK</t>
  </si>
  <si>
    <t xml:space="preserve">SAMSUNG A52 </t>
  </si>
  <si>
    <t>PLACA ORI TURBO SAM S20 G981B</t>
  </si>
  <si>
    <t>G200 MB50</t>
  </si>
  <si>
    <t>A12 /A02 MULTIVERSION  MECANICO -CROWN-CVT-PREMIUN</t>
  </si>
  <si>
    <t>SAMSUNG A53</t>
  </si>
  <si>
    <t xml:space="preserve">PLACA ORI TURBO SAM S20 PLUS G986B </t>
  </si>
  <si>
    <t>G200 MB50 ORIGINAL 100% SERVICE PACK</t>
  </si>
  <si>
    <t>A12  CON MARCO MECANICO</t>
  </si>
  <si>
    <t>PLACA ORI TURBO SAM S20 ULTRA G988B</t>
  </si>
  <si>
    <t xml:space="preserve">ONE VISION/ONE ACTION KR40 </t>
  </si>
  <si>
    <t>SAMSUNG A54</t>
  </si>
  <si>
    <t>PLACA ORI TURBO S21</t>
  </si>
  <si>
    <t>MOD-A12.PREMIUN</t>
  </si>
  <si>
    <t>A12 c/m premium (con vibrador,parlante y flex lateral)</t>
  </si>
  <si>
    <t xml:space="preserve">NG50 G71 </t>
  </si>
  <si>
    <t>SAMSUNG A55</t>
  </si>
  <si>
    <t xml:space="preserve">PLACA ORI TURBO SAM S21 + </t>
  </si>
  <si>
    <t>NC 50 G41 / G32</t>
  </si>
  <si>
    <t>A13 / M13 A135F</t>
  </si>
  <si>
    <t>PLACA ORI TURBO SAM S21 FE 5G</t>
  </si>
  <si>
    <t>SAMSUNG A70</t>
  </si>
  <si>
    <t xml:space="preserve">NE50 G52/G72/G82  </t>
  </si>
  <si>
    <t>PLACA DE CARGA ORIGINAL EQUIPO A22 ULTRA</t>
  </si>
  <si>
    <t xml:space="preserve">NH40 E22/E22i </t>
  </si>
  <si>
    <t>MOD-A13-135 CR.MEC.CVT</t>
  </si>
  <si>
    <t>SAMSUNG S6 EDGE</t>
  </si>
  <si>
    <t>A13 A135 premium</t>
  </si>
  <si>
    <t>PLACA ORI TURBO SAM S22 PLUS</t>
  </si>
  <si>
    <t>NH40 ORIGINAL SERVICE PACK</t>
  </si>
  <si>
    <t>PLACA ORI TURBO SAM S22 ULTRA</t>
  </si>
  <si>
    <t xml:space="preserve">SAMSUNG S7 EDGE </t>
  </si>
  <si>
    <t>12787-5</t>
  </si>
  <si>
    <t>NT40 E20</t>
  </si>
  <si>
    <t>A13 /M13 / A23 / M23 M336 MULTIVERSION CVT</t>
  </si>
  <si>
    <t xml:space="preserve">PLACA ORI TURBO SAM S23 FE 5G </t>
  </si>
  <si>
    <t>NT40 E20 ORIGINAL</t>
  </si>
  <si>
    <t xml:space="preserve">SAMSUNG S8 ROSE </t>
  </si>
  <si>
    <t>PLACA DE CARGA ORIGINAL EQUIPO A23 FE</t>
  </si>
  <si>
    <t>MOD-A23-5G</t>
  </si>
  <si>
    <t>A13 / A23 / M23 multiversion MECANICO</t>
  </si>
  <si>
    <t xml:space="preserve">NH50 G22/E32/E13 </t>
  </si>
  <si>
    <t xml:space="preserve">PLACA ORI TURBO SAM S23 ULTRA </t>
  </si>
  <si>
    <t>SAMSUNG S8 PLUS</t>
  </si>
  <si>
    <t>PH50 G23</t>
  </si>
  <si>
    <t>MOD-SAM13-ME-CM</t>
  </si>
  <si>
    <t>A13 CON MARCO MECANICO</t>
  </si>
  <si>
    <t>JK50 ORIGINAL SERVICE PACK</t>
  </si>
  <si>
    <t>SAMSUNG S9 PLUS</t>
  </si>
  <si>
    <t xml:space="preserve">A14 4g </t>
  </si>
  <si>
    <t xml:space="preserve">PC50 G14/G54 </t>
  </si>
  <si>
    <t>PLACA ORI TURBO SAM S24</t>
  </si>
  <si>
    <t xml:space="preserve">PC50 G14/G54 ORIGINAL SERVICE PACK </t>
  </si>
  <si>
    <t>SAMSUNG S20</t>
  </si>
  <si>
    <t>MOD-A13-MUL-CRMEC</t>
  </si>
  <si>
    <t>A13 4G multiversion mecanico</t>
  </si>
  <si>
    <t>MG50 G9 PLUS ORIGINAL SERVICE PACK</t>
  </si>
  <si>
    <t>SAMSUNG S20 PLUS</t>
  </si>
  <si>
    <t>SP-SAMA13</t>
  </si>
  <si>
    <t>PLACA ORI TURBO SAM S24 PLUS</t>
  </si>
  <si>
    <t>NA50 MOTO EDGE 30 PRO</t>
  </si>
  <si>
    <t>A13 4g c/m premium (con vibrador,parlante y flex lateral)</t>
  </si>
  <si>
    <t>PLACA ORI TURBO SAM S24 ULTRA</t>
  </si>
  <si>
    <t>ND40 MOTO EDGE 30</t>
  </si>
  <si>
    <t>SAMSUNG S20 ULTRA</t>
  </si>
  <si>
    <t xml:space="preserve">NP40 EDGE 30 NEO </t>
  </si>
  <si>
    <t>PLACA DE CARGA ORIGINAL EQUIPO A24 ULTRA</t>
  </si>
  <si>
    <t>A13 4G c/m</t>
  </si>
  <si>
    <t>SAMSUNG S20 FE</t>
  </si>
  <si>
    <t>PLACA ORIGINAL 100% SERVICE PACK S25 ULTRA</t>
  </si>
  <si>
    <t xml:space="preserve">NP40 EDGE 30 NEO ORIGINAL SERVICE PACK </t>
  </si>
  <si>
    <t xml:space="preserve">A14 5g flex largo </t>
  </si>
  <si>
    <t>PLACA DE CARGA ORIGINAL EQUIPO A25 PLUS</t>
  </si>
  <si>
    <t xml:space="preserve">NP44 EDGE 30 FUSION ORIGINAL SERVICE PACK </t>
  </si>
  <si>
    <t>SAMSUNG S21 FE</t>
  </si>
  <si>
    <t>PLACA DE CARGA ORIGINAL EQUIPO A25 ULTRA</t>
  </si>
  <si>
    <t>A14-5G-CRW</t>
  </si>
  <si>
    <t>PF46 EDGE 40 PRO ORIGINAL SERVICE PACK</t>
  </si>
  <si>
    <t>A14 5g flex largo Crown / Mecanico CVT</t>
  </si>
  <si>
    <t>SAMSUNG S22</t>
  </si>
  <si>
    <t xml:space="preserve">QM50 EDGE 40 NEO ORIGINAL SERVICE PACK </t>
  </si>
  <si>
    <t>MOD-A14-5G-MARCO</t>
  </si>
  <si>
    <t>A14 5g flex largo con Marco mecanico</t>
  </si>
  <si>
    <t xml:space="preserve">RA52 G86 ORIGINAL 100% SERVICE PACK </t>
  </si>
  <si>
    <t>SAMSUNG S22 ULTRA</t>
  </si>
  <si>
    <t>FLEX POWER</t>
  </si>
  <si>
    <t>MOD.A145G.PREM.</t>
  </si>
  <si>
    <t>QE50 G85 ORIGINAL 100% SERVICE PACK</t>
  </si>
  <si>
    <t>A14 5G c/m premium (con vibrador,parlante y flex lateral)</t>
  </si>
  <si>
    <t>QB50 G84</t>
  </si>
  <si>
    <t xml:space="preserve">SAMSUNG S23 </t>
  </si>
  <si>
    <t xml:space="preserve">Flex power J7 2016 </t>
  </si>
  <si>
    <t xml:space="preserve">QB50 G84 ORIGINAL SERVICE PACK </t>
  </si>
  <si>
    <t>SAMSUNG S23 ULTRA</t>
  </si>
  <si>
    <t>Flex power A01</t>
  </si>
  <si>
    <t>SAMSUNG S24</t>
  </si>
  <si>
    <t>Flex power A02</t>
  </si>
  <si>
    <t>SAMSUNG S24 ULTRA</t>
  </si>
  <si>
    <t xml:space="preserve">Flex power A02S </t>
  </si>
  <si>
    <t>SAMSUNG S25 ULTRA ORIGINAL CON LENTE</t>
  </si>
  <si>
    <t xml:space="preserve">Flex power A03 </t>
  </si>
  <si>
    <t>MOD-A15-INC-PRM</t>
  </si>
  <si>
    <t xml:space="preserve">Flex power A03S </t>
  </si>
  <si>
    <t>QF50 E14/G24/G04/G04S</t>
  </si>
  <si>
    <t>SAMSUNG S26 ULTRA ORIGINAL CON LENTE</t>
  </si>
  <si>
    <t xml:space="preserve">Flex power A03 CORE </t>
  </si>
  <si>
    <t xml:space="preserve">Flex power A04 </t>
  </si>
  <si>
    <t>A15 incell premium c/m</t>
  </si>
  <si>
    <t>Flex power A04E</t>
  </si>
  <si>
    <t>QF50 E14/G24/G04/G04S ORIGINAL 100% SERVICE PACK</t>
  </si>
  <si>
    <t>Flex power A05</t>
  </si>
  <si>
    <t>QC50 EDGE 50 FUSION ORIGINAL 100% SERVICE PACK</t>
  </si>
  <si>
    <t>Flex power A10S</t>
  </si>
  <si>
    <t>RL52 G15/G05/E15</t>
  </si>
  <si>
    <t>RW50 G75</t>
  </si>
  <si>
    <t xml:space="preserve">Flex power A11 </t>
  </si>
  <si>
    <t>MOD-SAM-A15-T20</t>
  </si>
  <si>
    <t>A15 T20 mecanico c/m</t>
  </si>
  <si>
    <t>PC60 G24 POWER</t>
  </si>
  <si>
    <t>Flex power A14 4G</t>
  </si>
  <si>
    <t>MSAMA15CM</t>
  </si>
  <si>
    <t>Flex power A14 5G</t>
  </si>
  <si>
    <t xml:space="preserve">A15 oled c/m </t>
  </si>
  <si>
    <t xml:space="preserve">MOTO E6I </t>
  </si>
  <si>
    <t>QG50 G35</t>
  </si>
  <si>
    <t>MOD-A16-ICLL</t>
  </si>
  <si>
    <t>LR50 MOTO EDGE ORIIGINAL SERVICE PACK</t>
  </si>
  <si>
    <t>A16 4g incell con marco</t>
  </si>
  <si>
    <t xml:space="preserve">X2 EY30 </t>
  </si>
  <si>
    <t>A16-SMLL</t>
  </si>
  <si>
    <t>Flex power A21S</t>
  </si>
  <si>
    <t>A16 oled small c/m</t>
  </si>
  <si>
    <t xml:space="preserve">X STYLE FX30 </t>
  </si>
  <si>
    <t>Flex power A32</t>
  </si>
  <si>
    <t xml:space="preserve">MOTO ONE HYPER </t>
  </si>
  <si>
    <t>14503-9</t>
  </si>
  <si>
    <t>A16 big oled s/m</t>
  </si>
  <si>
    <t>MOTO E6S</t>
  </si>
  <si>
    <t>LG</t>
  </si>
  <si>
    <t>Flex Power J4 Core</t>
  </si>
  <si>
    <t>MOD-SAM-A16-CR-MEC</t>
  </si>
  <si>
    <t>A16 / A26 ORIGINAL MECANICO</t>
  </si>
  <si>
    <t>Flex Power J6 Plus</t>
  </si>
  <si>
    <t>LENTE DE CAMARA</t>
  </si>
  <si>
    <t>A16 oled c/m mecanico</t>
  </si>
  <si>
    <t>MOD-SAM16-T20-MEC</t>
  </si>
  <si>
    <t>A16 T2O mecanico c/m</t>
  </si>
  <si>
    <t>13994-6</t>
  </si>
  <si>
    <t>A17 oled</t>
  </si>
  <si>
    <t>MOD-SAMA17-T20-MEC</t>
  </si>
  <si>
    <t>A17 T20 mecanico c/m</t>
  </si>
  <si>
    <t xml:space="preserve">A20 oled </t>
  </si>
  <si>
    <t>A20 oled c/m</t>
  </si>
  <si>
    <t>A20 incell c/m</t>
  </si>
  <si>
    <t>MSAMA20CMT2</t>
  </si>
  <si>
    <t>A20 T20 c/m</t>
  </si>
  <si>
    <t xml:space="preserve">A20s </t>
  </si>
  <si>
    <t>MOD-A20S-CRMEC</t>
  </si>
  <si>
    <t>A20s mecanico</t>
  </si>
  <si>
    <t>A20s c/m</t>
  </si>
  <si>
    <t xml:space="preserve">A21s </t>
  </si>
  <si>
    <t>MOD-A21S-CR-MEC</t>
  </si>
  <si>
    <t>A21S mecanico</t>
  </si>
  <si>
    <t>A21s c/m mecanico</t>
  </si>
  <si>
    <t>MOD-A21S-PRM</t>
  </si>
  <si>
    <t>A21s c/m premium (con vibrador,parlante y flex lateral)</t>
  </si>
  <si>
    <t>A22 incell c/m</t>
  </si>
  <si>
    <t>MOTO E7</t>
  </si>
  <si>
    <t>A22 4g c/m MECANICO</t>
  </si>
  <si>
    <t xml:space="preserve">A22 4g oled c/m </t>
  </si>
  <si>
    <t xml:space="preserve">A22 5G  </t>
  </si>
  <si>
    <t>MSAMA225GCR</t>
  </si>
  <si>
    <t>MOTO E7i POWER</t>
  </si>
  <si>
    <t>A22 5G mecanico/CROWN/CVT</t>
  </si>
  <si>
    <t>A22 5g c/m Premium T20 (con vibrador,parlante y flex lateral)</t>
  </si>
  <si>
    <t>MOTO E7 PLUS</t>
  </si>
  <si>
    <t>A23 A235</t>
  </si>
  <si>
    <t>MOTO E13</t>
  </si>
  <si>
    <t>A23 M336 MECANICO</t>
  </si>
  <si>
    <t>MSAMA23CR</t>
  </si>
  <si>
    <t xml:space="preserve">A23 4g c/m </t>
  </si>
  <si>
    <t>MOTO E20</t>
  </si>
  <si>
    <t>A23 5g m336</t>
  </si>
  <si>
    <t>MOTO E22</t>
  </si>
  <si>
    <t>A24 oled c/m</t>
  </si>
  <si>
    <t xml:space="preserve">MOTO E32 </t>
  </si>
  <si>
    <t>MOD-SAM.-A24-MEC-CM</t>
  </si>
  <si>
    <t>A24 big oled c/m mecanico</t>
  </si>
  <si>
    <t xml:space="preserve">MOTO E40 </t>
  </si>
  <si>
    <t xml:space="preserve">MOTO EDGE 20 LITE </t>
  </si>
  <si>
    <t xml:space="preserve">MOTO EDGE 30 NEO </t>
  </si>
  <si>
    <t>A25 oled c/m</t>
  </si>
  <si>
    <t>MOD-A26-ORG-MEC</t>
  </si>
  <si>
    <t xml:space="preserve">A26 ORIGINAL MECANICO </t>
  </si>
  <si>
    <t>MOTO EDGE 40</t>
  </si>
  <si>
    <t>MOD-SAMA26-BOLD</t>
  </si>
  <si>
    <t>A26 oled big</t>
  </si>
  <si>
    <t>MOTO G04</t>
  </si>
  <si>
    <t>A26-MOD-S</t>
  </si>
  <si>
    <t>A26 oled c/m</t>
  </si>
  <si>
    <t>MOTO G6 PLUS</t>
  </si>
  <si>
    <t>A30 oled</t>
  </si>
  <si>
    <t>MOTO G7</t>
  </si>
  <si>
    <t>MSAMA3050CM</t>
  </si>
  <si>
    <t>Lente de camara A01</t>
  </si>
  <si>
    <t xml:space="preserve">A30 oled c/m </t>
  </si>
  <si>
    <t>MOTO G7 PLUS</t>
  </si>
  <si>
    <t>MSAMAA30CMT</t>
  </si>
  <si>
    <t>A30/A50 oled mecanico c/m</t>
  </si>
  <si>
    <t>MOTO G7 POWER</t>
  </si>
  <si>
    <t>SAM-A30-A50-INC-MAR.-CVT</t>
  </si>
  <si>
    <t>A30 / A50 incell c/m premium</t>
  </si>
  <si>
    <t>A30s oled c/m</t>
  </si>
  <si>
    <t>MOTO G8 PLAY</t>
  </si>
  <si>
    <t xml:space="preserve">Lente de camara A02 </t>
  </si>
  <si>
    <t>A30S incell c/m</t>
  </si>
  <si>
    <t>MOTO G8 POWER LITE</t>
  </si>
  <si>
    <t xml:space="preserve">Lente de camara A03 </t>
  </si>
  <si>
    <t>MOD-SAM-A30S-MEC-CM</t>
  </si>
  <si>
    <t xml:space="preserve">A30s oled mecanico c/m </t>
  </si>
  <si>
    <t>Lente de camara A03 CORE</t>
  </si>
  <si>
    <t xml:space="preserve">MOTO G9 PLAY </t>
  </si>
  <si>
    <t xml:space="preserve">MOTO G9 POWER </t>
  </si>
  <si>
    <t>Lente de camara A04</t>
  </si>
  <si>
    <t xml:space="preserve">A31 oled c/m </t>
  </si>
  <si>
    <t xml:space="preserve">K22/K22 PLUS </t>
  </si>
  <si>
    <t>Lente de camara A04E</t>
  </si>
  <si>
    <t>MOTO G9 PLUS</t>
  </si>
  <si>
    <t>MOD-SAM-A31-MEC-CM</t>
  </si>
  <si>
    <t>A31 oled c/m mecanico</t>
  </si>
  <si>
    <t>Lente de camara A04S</t>
  </si>
  <si>
    <t>A31 incell c/m</t>
  </si>
  <si>
    <t>Lente de camara A06</t>
  </si>
  <si>
    <t xml:space="preserve">MOTO G13 </t>
  </si>
  <si>
    <t>A32 incell c/m</t>
  </si>
  <si>
    <t xml:space="preserve">K42/K52/K62 BL- T51 </t>
  </si>
  <si>
    <t>Lente de camara A10</t>
  </si>
  <si>
    <t xml:space="preserve">A32 oled c/m  </t>
  </si>
  <si>
    <t>Lente de camara A11</t>
  </si>
  <si>
    <t xml:space="preserve">MOTO G14 </t>
  </si>
  <si>
    <t>MOD-SAM-A32-MEC-MC</t>
  </si>
  <si>
    <t>A32 oled c/m mecanico</t>
  </si>
  <si>
    <t>Lente de camara A12</t>
  </si>
  <si>
    <t xml:space="preserve">K50S/K51 BL-T45 </t>
  </si>
  <si>
    <t>MOTO G20</t>
  </si>
  <si>
    <t>A33 5G A336 AMM C/MARCO MECANICO</t>
  </si>
  <si>
    <t xml:space="preserve">K41S/K51S/K61/K61S BL-T49 </t>
  </si>
  <si>
    <t>Lente de camara A13 4g</t>
  </si>
  <si>
    <t xml:space="preserve">MOTO G22 </t>
  </si>
  <si>
    <t>Lente de camara A14</t>
  </si>
  <si>
    <t>MOTO G23</t>
  </si>
  <si>
    <t>Lente de camara A16</t>
  </si>
  <si>
    <t>MOD-SAM-A34-MEC-CM</t>
  </si>
  <si>
    <t>A34 5g big oled c/m MECANICO</t>
  </si>
  <si>
    <t>MOTO G24 POWER</t>
  </si>
  <si>
    <t xml:space="preserve">Lente de camara A20 </t>
  </si>
  <si>
    <t>MSAMA355G</t>
  </si>
  <si>
    <t>A35 5g oled c/m</t>
  </si>
  <si>
    <t>Lente de camara A21S</t>
  </si>
  <si>
    <t>A36-MS</t>
  </si>
  <si>
    <t>Lente de camara A22 4g</t>
  </si>
  <si>
    <t>A36 oled mecanico</t>
  </si>
  <si>
    <t xml:space="preserve">MOTO G30 </t>
  </si>
  <si>
    <t>Lente de Camara A22 5G</t>
  </si>
  <si>
    <t>MOD-SAM-A36-MEC-CM</t>
  </si>
  <si>
    <t xml:space="preserve">A36 oled c/m mecanico </t>
  </si>
  <si>
    <t>MOTO G31</t>
  </si>
  <si>
    <t>Lente de Camara A23</t>
  </si>
  <si>
    <t>XIAOMI</t>
  </si>
  <si>
    <t>A36 oled c/m</t>
  </si>
  <si>
    <t>MOTO G32</t>
  </si>
  <si>
    <t>Lente de Camara A32 4G</t>
  </si>
  <si>
    <t>A50 incell c/m premium</t>
  </si>
  <si>
    <t xml:space="preserve">MOTO G41 </t>
  </si>
  <si>
    <t>Lente de camara A31</t>
  </si>
  <si>
    <t>MOD-A30A50-CRMEC</t>
  </si>
  <si>
    <t xml:space="preserve">MI A1 BN31 </t>
  </si>
  <si>
    <t>Lente de camara A32 4G</t>
  </si>
  <si>
    <t xml:space="preserve">A50 oled c/m </t>
  </si>
  <si>
    <t>Lente de camara A33</t>
  </si>
  <si>
    <t>Lente de camara A36</t>
  </si>
  <si>
    <t xml:space="preserve">MI A2 BN36 </t>
  </si>
  <si>
    <t xml:space="preserve">Lente de camara A24 </t>
  </si>
  <si>
    <t>Lente de camara A25</t>
  </si>
  <si>
    <t xml:space="preserve">Lente de camara A50 </t>
  </si>
  <si>
    <t>Lente de camara A51</t>
  </si>
  <si>
    <t>A51 big oled c/m</t>
  </si>
  <si>
    <t>Lente de camara A52</t>
  </si>
  <si>
    <t>MOD-SAM-A51-MEC-CM</t>
  </si>
  <si>
    <t xml:space="preserve">Lente de camara A53 </t>
  </si>
  <si>
    <t>A51 oled c/m mecanico</t>
  </si>
  <si>
    <t>Lente de camara A55</t>
  </si>
  <si>
    <t>A51 INCELL CON MARCO</t>
  </si>
  <si>
    <t>Lente de camara A56</t>
  </si>
  <si>
    <t xml:space="preserve">A52 big oled c/m </t>
  </si>
  <si>
    <t>Lente de camara A72</t>
  </si>
  <si>
    <t>Lente de camara J2 prime</t>
  </si>
  <si>
    <t>Lente de camara J2 core</t>
  </si>
  <si>
    <t>Lente de camara J7/J7 neo</t>
  </si>
  <si>
    <t>Lente de camara J7 2016</t>
  </si>
  <si>
    <t>Lente de camara J4</t>
  </si>
  <si>
    <t>Lente de camara S20</t>
  </si>
  <si>
    <t>Lente de camara S20 FE</t>
  </si>
  <si>
    <t>Lente de camara S21 Plus</t>
  </si>
  <si>
    <t xml:space="preserve">REDMI A3 BN5R </t>
  </si>
  <si>
    <t>REDMI A5 BP5E</t>
  </si>
  <si>
    <t>MOTO G42</t>
  </si>
  <si>
    <t xml:space="preserve">MI 8 LITE BM3J </t>
  </si>
  <si>
    <t>REDMI 8/8A BN51</t>
  </si>
  <si>
    <t>MOD-SAM-A52B-MEC-CM</t>
  </si>
  <si>
    <t>REDMI NOTE 8 PRO BM4J</t>
  </si>
  <si>
    <t>MOTO G51</t>
  </si>
  <si>
    <t>A52 big oled c/m mecanico  - CVT</t>
  </si>
  <si>
    <t xml:space="preserve">REDMI 9A/9C </t>
  </si>
  <si>
    <t xml:space="preserve">MOTO G52 </t>
  </si>
  <si>
    <t>MOD-A52-IN-MARCO</t>
  </si>
  <si>
    <t>REDMI 12C BN5K</t>
  </si>
  <si>
    <t>A52 big incell c/m</t>
  </si>
  <si>
    <t xml:space="preserve">MOTO G60S </t>
  </si>
  <si>
    <t>REDMI 13C BN5Q</t>
  </si>
  <si>
    <t>MOD000</t>
  </si>
  <si>
    <t>MOTO G71</t>
  </si>
  <si>
    <t xml:space="preserve">A53 oled c/m </t>
  </si>
  <si>
    <t xml:space="preserve">NOTE 4X BN43 </t>
  </si>
  <si>
    <t>MOTO G84</t>
  </si>
  <si>
    <t xml:space="preserve">NOTE 7 BN4A </t>
  </si>
  <si>
    <t>A53 oled c/m mecanico</t>
  </si>
  <si>
    <t xml:space="preserve">NOTE 8 BN46 </t>
  </si>
  <si>
    <t>MOTO G100</t>
  </si>
  <si>
    <t xml:space="preserve">NOTE 8 PRO BM4J </t>
  </si>
  <si>
    <t>MOTO G200</t>
  </si>
  <si>
    <t xml:space="preserve">NOTE 9 BN54 </t>
  </si>
  <si>
    <t>MOTO ONE MARCO</t>
  </si>
  <si>
    <t xml:space="preserve">NOTE 9 PRO BN52 </t>
  </si>
  <si>
    <t>A54 5g oled c/m</t>
  </si>
  <si>
    <t>NOTE 10 PRO BN53</t>
  </si>
  <si>
    <t>MOTO ONE VISION</t>
  </si>
  <si>
    <t xml:space="preserve">NOTE 10 4G/ NOTE 10S BN59 </t>
  </si>
  <si>
    <t>MOTO ONE FUSION</t>
  </si>
  <si>
    <t>MOD-SAM-A54BIG-MEC-CM</t>
  </si>
  <si>
    <t>NOTE 11 4G/ NOTE 11S / NOTE 12S BN5D</t>
  </si>
  <si>
    <t xml:space="preserve">A54 5g oled c/m mecanico </t>
  </si>
  <si>
    <t>NOTE 13 PRO BM5V</t>
  </si>
  <si>
    <t>Lente de camara S22 / S22 PLUS</t>
  </si>
  <si>
    <t>NOTE 13 BN5P PREMIUM</t>
  </si>
  <si>
    <t xml:space="preserve">IPHONE </t>
  </si>
  <si>
    <t>REDMI 14C/POCO C75 BN5X</t>
  </si>
  <si>
    <t xml:space="preserve">Lente de camara S22 ULTRA </t>
  </si>
  <si>
    <t xml:space="preserve">POCO X3/X3 PRO BN57 </t>
  </si>
  <si>
    <t>A55 5g oled c/m</t>
  </si>
  <si>
    <t>Lente de camara S23 FE</t>
  </si>
  <si>
    <t>MI 10 LITE BM4R</t>
  </si>
  <si>
    <t xml:space="preserve">IPHONE 8 </t>
  </si>
  <si>
    <t>MSAMMAA55CM</t>
  </si>
  <si>
    <t>A55 5g oled c/m mecanico</t>
  </si>
  <si>
    <t>Lente de camara S23 Plus</t>
  </si>
  <si>
    <t xml:space="preserve">MI 9T/MI 9T PRO BP40 </t>
  </si>
  <si>
    <t>IPHONE</t>
  </si>
  <si>
    <t>Lente de camara S23 Ultra</t>
  </si>
  <si>
    <t>MOD-A55-SP</t>
  </si>
  <si>
    <t xml:space="preserve">A55 orig service pack </t>
  </si>
  <si>
    <t>Lente de camara S24</t>
  </si>
  <si>
    <t>MOD-A36-A56 ODMEC</t>
  </si>
  <si>
    <t>A56/A36 oled mecanico</t>
  </si>
  <si>
    <t>MOD-SAM-A565G-MEC-CM</t>
  </si>
  <si>
    <t>A56 oled c/m mecanico / cvt</t>
  </si>
  <si>
    <t>Lente de camara S24 Plus</t>
  </si>
  <si>
    <t>MSS A56 CM</t>
  </si>
  <si>
    <t>Lente de camara S24 Ultra</t>
  </si>
  <si>
    <t>A56 orig service pack c/m</t>
  </si>
  <si>
    <t>Lente de camara S25</t>
  </si>
  <si>
    <t>Lente de camara S25 plus</t>
  </si>
  <si>
    <t>Lente de camara S25 ULTRA</t>
  </si>
  <si>
    <t>MSAMA70CMT2</t>
  </si>
  <si>
    <t>A70 T20 c/m</t>
  </si>
  <si>
    <t>Lente de camara A750</t>
  </si>
  <si>
    <t>SAM-A71-IN-MARCO</t>
  </si>
  <si>
    <t>BANDEJA PORTA SIM</t>
  </si>
  <si>
    <t>A71 big incell c/m</t>
  </si>
  <si>
    <t>promo</t>
  </si>
  <si>
    <t>A72 oled c/m</t>
  </si>
  <si>
    <t>Bandeja porta sim J2 core</t>
  </si>
  <si>
    <t>MOD-SAM-A72-MEC-CM</t>
  </si>
  <si>
    <t>A72 oled mecanico c/m</t>
  </si>
  <si>
    <t>MOD-SAM-J2CORE-MEC-N</t>
  </si>
  <si>
    <t xml:space="preserve">J2 core </t>
  </si>
  <si>
    <t>Bandeja porta sim J5 prime / J7 prime</t>
  </si>
  <si>
    <t>J4 plus/J4 core/J6 plus crown</t>
  </si>
  <si>
    <t>Bandeja Porta sim J6 plus</t>
  </si>
  <si>
    <t xml:space="preserve">J4 oled  </t>
  </si>
  <si>
    <t>Bandeja Porta sim A750 A7 2018</t>
  </si>
  <si>
    <t>MOD-SAM-J5PR-MEC-BL</t>
  </si>
  <si>
    <t>J5 prime mecanico</t>
  </si>
  <si>
    <t>Bandeja Porta sim 01</t>
  </si>
  <si>
    <t>J6 oled</t>
  </si>
  <si>
    <t>Bandeja Porta sim 01 Core</t>
  </si>
  <si>
    <t>IPHONE 8 PLUS</t>
  </si>
  <si>
    <t>Bandeja Porta SIM Samsung A02</t>
  </si>
  <si>
    <t>J6 incell premium</t>
  </si>
  <si>
    <t>Bandeja Porta SIM Samsung A02S</t>
  </si>
  <si>
    <t>Bandeja Porta SIM Samsung A03</t>
  </si>
  <si>
    <t xml:space="preserve">J7 prime </t>
  </si>
  <si>
    <t>Bandeja Porta SIM Samsung A03 CORE</t>
  </si>
  <si>
    <t>MOD-SAM-J7PR-N-MEC</t>
  </si>
  <si>
    <t>J7 prime  mecanico</t>
  </si>
  <si>
    <t>Bandeja Porta SIM Samsung A03S</t>
  </si>
  <si>
    <t xml:space="preserve">J7 2016 oled </t>
  </si>
  <si>
    <t>J7 2015 oled</t>
  </si>
  <si>
    <t xml:space="preserve">SE </t>
  </si>
  <si>
    <t>Bandeja Porta SIM Samsung A04</t>
  </si>
  <si>
    <t>J7 2016 Incell</t>
  </si>
  <si>
    <t>Bandeja Porta SIM Samsung A04e</t>
  </si>
  <si>
    <t>J7 neo Incell</t>
  </si>
  <si>
    <t>Bandeja Porta SIM Samsung A04s</t>
  </si>
  <si>
    <t xml:space="preserve">J7 neo oled </t>
  </si>
  <si>
    <t>Bandeja Porta SIM Samsung A05</t>
  </si>
  <si>
    <t>IPHONE X</t>
  </si>
  <si>
    <t>J7 pro oled</t>
  </si>
  <si>
    <t xml:space="preserve">Bandeja porta sim A10/A10S/A20/A30/A50 </t>
  </si>
  <si>
    <t>IPHONE XR</t>
  </si>
  <si>
    <t>J8 oled</t>
  </si>
  <si>
    <t>IPHONE XS MAX</t>
  </si>
  <si>
    <t>MOD-SAM-J8-MEC</t>
  </si>
  <si>
    <t>J8 MECANICO incell</t>
  </si>
  <si>
    <t>IPHONE XS</t>
  </si>
  <si>
    <t xml:space="preserve">S20 FE oled c/m </t>
  </si>
  <si>
    <t xml:space="preserve">IPHONE 11 </t>
  </si>
  <si>
    <t>S20 FE oled c/m PREMIUM MECANICO / CVT</t>
  </si>
  <si>
    <t xml:space="preserve">iPHONE 11 PRO </t>
  </si>
  <si>
    <t>IPHONE 11 PRO MAX</t>
  </si>
  <si>
    <t>MOD-SAM-S21FE-MEC</t>
  </si>
  <si>
    <t>S21 FE oled c/m mecanico</t>
  </si>
  <si>
    <t xml:space="preserve">IPHONE 12 </t>
  </si>
  <si>
    <t>S21 FE oled c/m</t>
  </si>
  <si>
    <t>IPHONE 12 MNI</t>
  </si>
  <si>
    <t>MOD-SAM-S21UL-MEC</t>
  </si>
  <si>
    <t>S21 ultra oled c/m mecanico</t>
  </si>
  <si>
    <t xml:space="preserve">IPHONE 12 PRO </t>
  </si>
  <si>
    <t>MSAMS22ULOLCM.</t>
  </si>
  <si>
    <t>IPHONE 12 PRO MAX</t>
  </si>
  <si>
    <t>S22 ultra oled c/m mecanico</t>
  </si>
  <si>
    <t>Bandeja porta sim A11</t>
  </si>
  <si>
    <t>IPHONE 13</t>
  </si>
  <si>
    <t>MOD-SAM.S23UL-MEC</t>
  </si>
  <si>
    <t>S23 ultra oled c/m mecanico</t>
  </si>
  <si>
    <t>Bandeja Porta SIM Samsung A12</t>
  </si>
  <si>
    <t xml:space="preserve">IPHONE 13 PRO </t>
  </si>
  <si>
    <t xml:space="preserve">6S </t>
  </si>
  <si>
    <t>Bandeja Porta SIM Samsung A13</t>
  </si>
  <si>
    <t xml:space="preserve">IPHONE 13 PRO MAX </t>
  </si>
  <si>
    <t>Bandeja Porta SIM Samsung A14</t>
  </si>
  <si>
    <t xml:space="preserve">6S PLUS/6 PLUS </t>
  </si>
  <si>
    <t>MOD-S23-FE</t>
  </si>
  <si>
    <t>S23 FE oled c/m</t>
  </si>
  <si>
    <t>IPHONE 14</t>
  </si>
  <si>
    <t>Bandeja Porta SIM Samsung A15</t>
  </si>
  <si>
    <t>7 FOXCONN</t>
  </si>
  <si>
    <t>S24 fe oled c/m</t>
  </si>
  <si>
    <t xml:space="preserve">Bandeja Porta Sim A20S
</t>
  </si>
  <si>
    <t>7 PLUS FOXCONN</t>
  </si>
  <si>
    <t>MOD-S24U-MEC</t>
  </si>
  <si>
    <t xml:space="preserve">Bandeja Porta Sim A21S
</t>
  </si>
  <si>
    <t xml:space="preserve">S24 ultra oled c/m </t>
  </si>
  <si>
    <t xml:space="preserve">Bandeja Porta Sim A22 4G
</t>
  </si>
  <si>
    <t>IPHONE 14 COMPLETA</t>
  </si>
  <si>
    <t>13488-0</t>
  </si>
  <si>
    <t>S25 ultra oled c/m</t>
  </si>
  <si>
    <t xml:space="preserve">Bandeja Porta Sim A22 5G
</t>
  </si>
  <si>
    <t>IPHONE 14 PLUS</t>
  </si>
  <si>
    <t>Bandeja porta sim A23 4G</t>
  </si>
  <si>
    <t>iPHONE 14 PRO</t>
  </si>
  <si>
    <t>Bandeja porta sim A24</t>
  </si>
  <si>
    <t>IPHONE 14 PRO MAX</t>
  </si>
  <si>
    <t>IPHONE 15</t>
  </si>
  <si>
    <t>Bandeja porta sim A25</t>
  </si>
  <si>
    <t>Bandeja porta sim A30S</t>
  </si>
  <si>
    <t>IPHONE 15 PRO</t>
  </si>
  <si>
    <t>Bandeja porta sim A31</t>
  </si>
  <si>
    <t>IPHONE 15 PRO MAX</t>
  </si>
  <si>
    <t>Bandeja porta sim A32 4G</t>
  </si>
  <si>
    <t>Bandeja porta sim A33 5G</t>
  </si>
  <si>
    <t xml:space="preserve">Bandeja porta sim A34 5G </t>
  </si>
  <si>
    <t>Bandeja porta sim A51</t>
  </si>
  <si>
    <t>CODIGOS</t>
  </si>
  <si>
    <t>Bandeja porta sim A52</t>
  </si>
  <si>
    <t>8 FOXCONN</t>
  </si>
  <si>
    <t>Bandeja porta sim A53</t>
  </si>
  <si>
    <t>Bandeja porta sim A54</t>
  </si>
  <si>
    <t>Bandeja porta sim A55</t>
  </si>
  <si>
    <t>8 PLUS FOXCONN</t>
  </si>
  <si>
    <t>Bandeja porta sim A71</t>
  </si>
  <si>
    <t>XR SIN FLEX FOXCONN</t>
  </si>
  <si>
    <t>IPHONE 15 PRO MAX COMPLETA</t>
  </si>
  <si>
    <t>Bandeja porta sim A72</t>
  </si>
  <si>
    <t>XR FOXCONN</t>
  </si>
  <si>
    <t>XS MAX FOXCONN</t>
  </si>
  <si>
    <t>DESCRIPCION</t>
  </si>
  <si>
    <t>Bandeja porta sim S20 PLUS</t>
  </si>
  <si>
    <t>X FOXCONN</t>
  </si>
  <si>
    <t>Bandeja porta sim S20 ULTRA</t>
  </si>
  <si>
    <t>IPHONE 16</t>
  </si>
  <si>
    <t>11 SIN FLEX FOXCONN</t>
  </si>
  <si>
    <t>EFECTIVO</t>
  </si>
  <si>
    <t>11 FOXCONN</t>
  </si>
  <si>
    <t>IPHONE 16 COMPLETA</t>
  </si>
  <si>
    <t>Bandeja porta sim S20 FE</t>
  </si>
  <si>
    <t>IPHONE 16 PRO MAX</t>
  </si>
  <si>
    <t>Bandeja porta sim S21</t>
  </si>
  <si>
    <t>11 CON FLEX AMPSENTRIX</t>
  </si>
  <si>
    <t>11 PRO FOXCONN SIN FLEX</t>
  </si>
  <si>
    <t>Bandeja porta sim S21 PLUS</t>
  </si>
  <si>
    <t>IPHONE 17</t>
  </si>
  <si>
    <t>11 PRO AMPSENTRIX CON FLEX</t>
  </si>
  <si>
    <t xml:space="preserve">Moto E </t>
  </si>
  <si>
    <t>Bandeja porta sim S21 ULTRA</t>
  </si>
  <si>
    <t>11 PRO MAX FOXCONN</t>
  </si>
  <si>
    <t>Bandeja porta sim S21 FE</t>
  </si>
  <si>
    <t>12/12 PRO FOXCONN</t>
  </si>
  <si>
    <t>12/12 PRO JCID AUTOPROGRAMABLE</t>
  </si>
  <si>
    <t>Bandeja porta sim S22 ULTRA</t>
  </si>
  <si>
    <t>12 PRO MAX FOXCONN</t>
  </si>
  <si>
    <t>Bandeja porta sim S22 PLUS</t>
  </si>
  <si>
    <t>12 PRO MAX JCID AUTOPROGRAMABLE</t>
  </si>
  <si>
    <t>Bandeja porta sim S23 5G</t>
  </si>
  <si>
    <t>13 FOXCONN / AMPSENTRIX</t>
  </si>
  <si>
    <t>Bandeja porta sim S23 FE</t>
  </si>
  <si>
    <t>13 FOXCONN SIN FLEX</t>
  </si>
  <si>
    <t>Bandeja porta sim S23 ULTRA</t>
  </si>
  <si>
    <t>13 JCID AUTOPROGRAMABLE</t>
  </si>
  <si>
    <t xml:space="preserve">Moto E4  </t>
  </si>
  <si>
    <t>13 PRO FOXCONN</t>
  </si>
  <si>
    <t>Bandeja porta sim S23 PLus</t>
  </si>
  <si>
    <t>13 PRO JCID AUTOPROGRAMABLE</t>
  </si>
  <si>
    <t>FLEX MAIN</t>
  </si>
  <si>
    <t>13 PRO MAX FOXCONN</t>
  </si>
  <si>
    <t xml:space="preserve">Moto E4 plus   </t>
  </si>
  <si>
    <t>13 PRO MAX JCID AUTOPROGRAMABLE</t>
  </si>
  <si>
    <t>14 SIN FLEX FOXCONN</t>
  </si>
  <si>
    <t xml:space="preserve">14 JCID AUTOPROGRAMABLE </t>
  </si>
  <si>
    <t>Flex main A10</t>
  </si>
  <si>
    <t>14 PRO JCID AUTOPROGRAMABLE</t>
  </si>
  <si>
    <t>14 PRO MAX SIN FLEX FOXCONN</t>
  </si>
  <si>
    <t>15 SIN FLEX FOXCONN</t>
  </si>
  <si>
    <t>15 PRO SIN FLEX FOXCONN</t>
  </si>
  <si>
    <t>15 PRO MAX SIN FLEX FOXCONN</t>
  </si>
  <si>
    <t>Flex main A10S</t>
  </si>
  <si>
    <t>16 FOXCONN s/flex</t>
  </si>
  <si>
    <t>16 PLUS FOXCONN s/flex</t>
  </si>
  <si>
    <t>Flex main A20</t>
  </si>
  <si>
    <t>16 PRO MAX FOXCONN</t>
  </si>
  <si>
    <t>Flex main A20s m12 / m14</t>
  </si>
  <si>
    <t>TCL</t>
  </si>
  <si>
    <t>Flex main A21S</t>
  </si>
  <si>
    <t>Flex main A22 4g</t>
  </si>
  <si>
    <t>BAT TCL 10SE/20Y TLP038D7 &amp;&amp;</t>
  </si>
  <si>
    <t>Flex main A22 5g</t>
  </si>
  <si>
    <t>Flex main A24</t>
  </si>
  <si>
    <t>Flex main A30S</t>
  </si>
  <si>
    <t>Flex main A31</t>
  </si>
  <si>
    <t>Flex main A32 4g</t>
  </si>
  <si>
    <t>Flex main A33</t>
  </si>
  <si>
    <t>Flex main A34</t>
  </si>
  <si>
    <t>Flex main A51</t>
  </si>
  <si>
    <t>Flex main A52</t>
  </si>
  <si>
    <t>Flex Main A53</t>
  </si>
  <si>
    <t>Flex main A72</t>
  </si>
  <si>
    <t>Flex Main A70 / 705</t>
  </si>
  <si>
    <t>Flex Main A71</t>
  </si>
  <si>
    <t>Flex main S21 Fe</t>
  </si>
  <si>
    <t>Flex main S22 ultra</t>
  </si>
  <si>
    <t>IPHONE 17 COMPLETA</t>
  </si>
  <si>
    <t>Flex main S23 ultra</t>
  </si>
  <si>
    <t>Flex main S24 ultra</t>
  </si>
  <si>
    <t>IPHONE 17 PRO</t>
  </si>
  <si>
    <t>FLEX HUELLA</t>
  </si>
  <si>
    <t xml:space="preserve">IPHONE 17 PRO MAX </t>
  </si>
  <si>
    <t>Moto E5/G6 play mecanico</t>
  </si>
  <si>
    <t>BAT TCL 20E TLPO38DA &amp;&amp;</t>
  </si>
  <si>
    <t xml:space="preserve">Moto E5 play go </t>
  </si>
  <si>
    <t xml:space="preserve">Moto E5 plus </t>
  </si>
  <si>
    <t xml:space="preserve">Moto E6 plus </t>
  </si>
  <si>
    <t>BAT TCL 20SE/20XE/30E/30SE/305/306/405/406/408 TLP48A1 &amp;&amp;</t>
  </si>
  <si>
    <t>BAT TCL 40SE TLPO49C8 &amp;&amp;</t>
  </si>
  <si>
    <t>Moto E6 plus mecanico</t>
  </si>
  <si>
    <t xml:space="preserve">ZTE / TECNO /SPARCK / CAMON / REALME / OPPO </t>
  </si>
  <si>
    <t>MOD-MOT-E6S-ORG</t>
  </si>
  <si>
    <t>Moto E6s orig service pack c/m</t>
  </si>
  <si>
    <t>Flex Huella A10s</t>
  </si>
  <si>
    <t>XIAOMI MI 8 LITE</t>
  </si>
  <si>
    <t>XIAOMI MI 9 LITE</t>
  </si>
  <si>
    <t>XIAOMI REDMI NOTE 7</t>
  </si>
  <si>
    <t>XIAOMI REDMI NOTE 8</t>
  </si>
  <si>
    <t xml:space="preserve">Moto E6s </t>
  </si>
  <si>
    <t>Moto E6s / E6I  MECANICO</t>
  </si>
  <si>
    <t>Flex Huella A12</t>
  </si>
  <si>
    <t>MOD-E6I-CM</t>
  </si>
  <si>
    <t>Moto E6i con marco</t>
  </si>
  <si>
    <t>Flex Huella A13</t>
  </si>
  <si>
    <t xml:space="preserve">Moto E6i </t>
  </si>
  <si>
    <t>Flex Boton A14 (no es huella)</t>
  </si>
  <si>
    <t>Flex Huella A21s</t>
  </si>
  <si>
    <t>Moto E6i mecanico</t>
  </si>
  <si>
    <t>BATERIA ZTE V40 SMART/V40 VITA/V40 PRO ORIGINAL</t>
  </si>
  <si>
    <t>MOD-MOT-E6PL-OR-CM</t>
  </si>
  <si>
    <t>Moto E6 play orig service pack c/m</t>
  </si>
  <si>
    <t>Flex Huella A22 5g</t>
  </si>
  <si>
    <t>FLEX VOLUMEN</t>
  </si>
  <si>
    <t>Moto E7 / E7 I POWER</t>
  </si>
  <si>
    <t>Flex volumne A10s</t>
  </si>
  <si>
    <t>XIAOMI REDMI NOTE 8 PRO</t>
  </si>
  <si>
    <t xml:space="preserve">XIAOMI REDMI NOTE 9 </t>
  </si>
  <si>
    <t>Flex volumen A12</t>
  </si>
  <si>
    <t>XIAOMI REDMI NOTE 9 PRO / 9S</t>
  </si>
  <si>
    <t>Moto E7 / E7i POWER MECANICO</t>
  </si>
  <si>
    <t>PARALANTE ALTA VOZ</t>
  </si>
  <si>
    <t>MOD-MOTE7I PWR-CMM</t>
  </si>
  <si>
    <t xml:space="preserve">BUZZER (PARLANTE ALTA VOZ) J7 2016 </t>
  </si>
  <si>
    <t>Moto E7i/E7i power c/m mecanico</t>
  </si>
  <si>
    <t xml:space="preserve">BATERIA ZTE A34 /A54 CALIDAD 100% ORIGINAL </t>
  </si>
  <si>
    <t>XIAOMI REDMI NOTE 10 4G/ 10S</t>
  </si>
  <si>
    <t>BATERIA ZTE A71 / A75 ORIGINAL</t>
  </si>
  <si>
    <t>BATERIA TECNO POVA 6 NEO 2 5G / TECNO SPARCK 30</t>
  </si>
  <si>
    <t>BATERIA TECNO CAMON 17 PRO / CAMON 18 /CAMON 18 PRO / 20 PRO</t>
  </si>
  <si>
    <t xml:space="preserve">BATERIA TECNO SPARCK 10 / SPARCK 10C </t>
  </si>
  <si>
    <t xml:space="preserve">BATERIA OPPO RENO 12F 5G / 12F 4G </t>
  </si>
  <si>
    <t>BATERIA REALME NOTE 60 / C61 4G</t>
  </si>
  <si>
    <t>BATERIA OPPO REALME 8 / 8i / C30 /C30S /C31 / C33 / C35 / NOTE 50</t>
  </si>
  <si>
    <t>PARLANTE ALTAVOZ A03 CORE</t>
  </si>
  <si>
    <t>PARLANTE AURICULARES CON FLEX CON CARCASA A01</t>
  </si>
  <si>
    <t xml:space="preserve"> PARLANTE ALTAVOZ CON CARCASA CON FLEX A03S</t>
  </si>
  <si>
    <t>PARLANTE ALTAVOZ CON CARCASA CON FLEX  A04</t>
  </si>
  <si>
    <t>MOD-MOTO-E7-MARCO</t>
  </si>
  <si>
    <t>PARLANTE ALTAVOZ CON CARCASA CON FLEX A04E</t>
  </si>
  <si>
    <t>Moto E7 c/m</t>
  </si>
  <si>
    <t>PARLANTE AURICULARES CON CARCASA A10S</t>
  </si>
  <si>
    <t>MOD-E7+-G9 PLAY</t>
  </si>
  <si>
    <t>Moto E7 plus / G9 PLAY</t>
  </si>
  <si>
    <t>MOD-E7 PLUS-MEC</t>
  </si>
  <si>
    <t>Moto E7 plus / G9 PLAY Mecanico- CVT</t>
  </si>
  <si>
    <t>PARLANTE ALTAVOZ C/CARCASA CON FLEX A14</t>
  </si>
  <si>
    <t>PARLANTE AURICULAR CON CARCASA A33 5G</t>
  </si>
  <si>
    <t>MOD-MOT-E7PLUS-CRMEC-MC</t>
  </si>
  <si>
    <t>Moto E7 plus G9 PLAY c/m MECANICO</t>
  </si>
  <si>
    <t>PARLANTE AURICULARES CON FLEX CON CARCASA A54 5G</t>
  </si>
  <si>
    <t>PARLANTE AURICULARES CON FLEX A72</t>
  </si>
  <si>
    <t xml:space="preserve">Moto E7 plus c/m </t>
  </si>
  <si>
    <t>ANTENAS</t>
  </si>
  <si>
    <t>E7IPOWER-ORIG</t>
  </si>
  <si>
    <t xml:space="preserve">Moto E7I Power c/m </t>
  </si>
  <si>
    <t>Antena A10S</t>
  </si>
  <si>
    <t xml:space="preserve">Moto E13 </t>
  </si>
  <si>
    <t>XIAOMI REDMI A3 original con lente de camara</t>
  </si>
  <si>
    <t>Moto E13 mecanico</t>
  </si>
  <si>
    <t>XIAOMI REDMI 10</t>
  </si>
  <si>
    <t>Moto E13 mecanico c/m</t>
  </si>
  <si>
    <t>XIAOMI REDMI NOTE 10 S</t>
  </si>
  <si>
    <t>MOD-E13-MARCO</t>
  </si>
  <si>
    <t>PLACA ORI TURBO MOTO E4 PLUS</t>
  </si>
  <si>
    <t>Moto E13 c/m premium (con vibrador,parlante y flex lateral)</t>
  </si>
  <si>
    <t xml:space="preserve">XIAOMI REDMI NOTE 11 4G/NOTE 11S </t>
  </si>
  <si>
    <t>MOD-E13-SERV.PACK</t>
  </si>
  <si>
    <t>XIAOMI REDMI 12C</t>
  </si>
  <si>
    <t>Moto E13 orig service pack c/m</t>
  </si>
  <si>
    <t>PLACA ORI TURBO E5 PLUS</t>
  </si>
  <si>
    <t>XIAOMI NOTE 13</t>
  </si>
  <si>
    <t>Moto E14</t>
  </si>
  <si>
    <t>PLACA ORI TURBO E5 PLAY GO</t>
  </si>
  <si>
    <t>XIAOMI NOTE 13T PRO</t>
  </si>
  <si>
    <t>MOD-MOT-E14-PRM</t>
  </si>
  <si>
    <t>PLACA ORI TURBO MOTO E5 / G6 PLAY</t>
  </si>
  <si>
    <t>Moto E14 cvt</t>
  </si>
  <si>
    <t>PLACA ORI TURBO MOTO E5 PLAY</t>
  </si>
  <si>
    <t>XIAOMI NOTE 13 PRO</t>
  </si>
  <si>
    <t>MOD-G04-E14-G24-MEC</t>
  </si>
  <si>
    <t>Moto E14 mecanico</t>
  </si>
  <si>
    <t>XIAOMI REDMI A3</t>
  </si>
  <si>
    <t>PLACA ORI TURBO MOTO E6 PLAY</t>
  </si>
  <si>
    <t>MOD-E14-G04-MARCO</t>
  </si>
  <si>
    <t>Moto E14 / G04 CON MARCO</t>
  </si>
  <si>
    <t>XIAOMI REDMI 13C</t>
  </si>
  <si>
    <t>PLACA ORIGINAL SERVICE PACK E6S/E6I</t>
  </si>
  <si>
    <t>XIAOMI REDMI 14C</t>
  </si>
  <si>
    <t>PLACA ORI TURBO MOTO E6S / E6I</t>
  </si>
  <si>
    <t>MOT-G04G04SE14-MECCM</t>
  </si>
  <si>
    <t>MODULO MOTOROLA G04 G04S E14 CON MARCO MECANICO</t>
  </si>
  <si>
    <t>PLACA ORIGINAL DE EQUIPO E6S / E6I</t>
  </si>
  <si>
    <t xml:space="preserve">POCO X3 </t>
  </si>
  <si>
    <t>MOD-G05-E15</t>
  </si>
  <si>
    <t>Moto E15</t>
  </si>
  <si>
    <t>POCO M6</t>
  </si>
  <si>
    <t>PLACA ORI TURBO MOTO E6  PLUS</t>
  </si>
  <si>
    <t>POCO X6</t>
  </si>
  <si>
    <t>MOD-MOTE15/G05-CVT</t>
  </si>
  <si>
    <t>PLACA ORIGINAL DE EQUIPO E6 PLUS</t>
  </si>
  <si>
    <t xml:space="preserve">PLACA ORI TURBO MOTO E13 </t>
  </si>
  <si>
    <t>Moto E15 premium / CVT</t>
  </si>
  <si>
    <t>PLACA ORI TURBO MOTO E14</t>
  </si>
  <si>
    <t>PLACA ORI TURBO MOTO E20</t>
  </si>
  <si>
    <t>Moto E15 mecanico</t>
  </si>
  <si>
    <t>PLACA ORI TURBO MOTO E22/E22I</t>
  </si>
  <si>
    <t>PLACA ORIGINAL DE EQUIPO E22 /E22I</t>
  </si>
  <si>
    <t>MOD-MOT-E15-G05-CM</t>
  </si>
  <si>
    <t>PLACA ORI SERVICE PACK E32</t>
  </si>
  <si>
    <t>Moto E15 -G05  CON MARCO</t>
  </si>
  <si>
    <t>PLACA ORI TURBO MOTO E32</t>
  </si>
  <si>
    <t>MOD-OR-G05-E15-CM</t>
  </si>
  <si>
    <t>Moto E15 orig service pack c/m</t>
  </si>
  <si>
    <t>PLACA ORIGINAL DE EQUIPO E32</t>
  </si>
  <si>
    <t>PLACA ORI TURBO MOTO E40</t>
  </si>
  <si>
    <t xml:space="preserve">Moto E20 </t>
  </si>
  <si>
    <t>PLACA ORIGINAL DE EQUIPO E20 /E40</t>
  </si>
  <si>
    <t>PLACA ORI TURBO MOTO E7 PLUS</t>
  </si>
  <si>
    <t xml:space="preserve">PLACA ORI SERVICE PACK MOTO E7 PLUS </t>
  </si>
  <si>
    <t>MOD-E20-CR-MEC</t>
  </si>
  <si>
    <t>PLACA ORI TURBO MOTO E7I POWER</t>
  </si>
  <si>
    <t xml:space="preserve">Moto E20 CROWN MECANICO CVT </t>
  </si>
  <si>
    <t>TCL 40 SE</t>
  </si>
  <si>
    <t>PLACA ORI SERVICE PACK E7I POWER</t>
  </si>
  <si>
    <t>Moto E20 c/m MECANICO</t>
  </si>
  <si>
    <t>PLACA ORI SERVICE PACK E7</t>
  </si>
  <si>
    <t>PLACA ORI TURBO MOTO E7</t>
  </si>
  <si>
    <t>Moto E20 c/m</t>
  </si>
  <si>
    <t>PLACA ORI TURBO MOTO G04</t>
  </si>
  <si>
    <t>MODULO MOTOROLA E20 SERVICE PACK CON MARCO</t>
  </si>
  <si>
    <t>PLACA ORI TURBO MOTO G04S</t>
  </si>
  <si>
    <t>Moto E20 orig service pack c/m</t>
  </si>
  <si>
    <t>PLACA ORIGINAL DE EQUIPO G050/G15 /E15</t>
  </si>
  <si>
    <t xml:space="preserve">Moto E22 / E22i </t>
  </si>
  <si>
    <t>PLACA ORIGINAL 100% SERVICE PACK G05/G15/E15</t>
  </si>
  <si>
    <t>PLACA ORI TURBO MOTO G5</t>
  </si>
  <si>
    <t>PLACA ORI SERVICE PACK G7 PLAY</t>
  </si>
  <si>
    <t>MOD-E22-CR-MEC</t>
  </si>
  <si>
    <t>Moto E22 / E22i  CROWN MECANICO CVT</t>
  </si>
  <si>
    <t>PLACA ORI TURBO MOTO G7 PLAY</t>
  </si>
  <si>
    <t>Moto E22 / E22I c/m premium (con vibrador,parlante y flex lateral)</t>
  </si>
  <si>
    <t>MOD-MT-E22-22I-CM</t>
  </si>
  <si>
    <t>Moto E22/E22i  MECANICO CON MARCO</t>
  </si>
  <si>
    <t xml:space="preserve">PLACA ORI TURBO MOTO G7 POWER </t>
  </si>
  <si>
    <t>5D68C21594</t>
  </si>
  <si>
    <t>Moto E22/E22I orig service pack c/m</t>
  </si>
  <si>
    <t xml:space="preserve">PLACA ORIGINAL DE EQUIPO G7 POWER </t>
  </si>
  <si>
    <t>Moto E32 -G22</t>
  </si>
  <si>
    <t xml:space="preserve">PLACA ORI TURBO MOTO G8  </t>
  </si>
  <si>
    <t>MOD-MOT-E32-G22-CR-MEC</t>
  </si>
  <si>
    <t>Moto E32 G22 MECANICO</t>
  </si>
  <si>
    <t>PLACA ORI TURBO MOTO G8 PLAY</t>
  </si>
  <si>
    <t>PLACA ORI SERVICE PACK G8 PLAY</t>
  </si>
  <si>
    <t>MOD-MOT-E32/G22-MEC</t>
  </si>
  <si>
    <t>Moto E32 c/m Mecanico</t>
  </si>
  <si>
    <t>PLACA ORI TURBO MOTO G8 PLUS</t>
  </si>
  <si>
    <t>PLACA ORI TURBO MOTO G8 POWER</t>
  </si>
  <si>
    <t>Moto E32 orig service pack c/m</t>
  </si>
  <si>
    <t xml:space="preserve">PLACA ORI TURBO MOTO G8 POWER LITE  </t>
  </si>
  <si>
    <t>Moto E40</t>
  </si>
  <si>
    <t>PLACA ORIGINAL DE EQUIPO G8 POWER LITE</t>
  </si>
  <si>
    <t xml:space="preserve">PLACA ORI TURBO MOTO G9 PLAY  </t>
  </si>
  <si>
    <t>Moto E40 mecanico</t>
  </si>
  <si>
    <t>PLACA DE CARGA ORIGINAL EQUIPO G9 PLAY</t>
  </si>
  <si>
    <t>Moto E40 c/m premium (con vibrador,parlante y flex lateral)</t>
  </si>
  <si>
    <t xml:space="preserve">PLACA ORI TURBO MOTO G9 PLUS </t>
  </si>
  <si>
    <t>Moto E40 c/m Mecanico</t>
  </si>
  <si>
    <t>PLACA ORI TURBO MOTO G9 POWER</t>
  </si>
  <si>
    <t>Moto G04 /G24/G24 power</t>
  </si>
  <si>
    <t>PLACA ORI TURBO MOTO G14</t>
  </si>
  <si>
    <t>PLACA ORI TURBO MOTO G15</t>
  </si>
  <si>
    <t>Moto G04 /G24/G24 power premium CVT</t>
  </si>
  <si>
    <t>PLACA ORI TURBO MOTO G13 / G23</t>
  </si>
  <si>
    <t>Moto G04/G04S/E14/G24/G24 POWER  CVT</t>
  </si>
  <si>
    <t>PLACA ORIGINAL DE EQUIPO G13 /G23</t>
  </si>
  <si>
    <t xml:space="preserve">Moto G04/G04S/E14/G24/G24 POWER  MECANICO </t>
  </si>
  <si>
    <t>PLACA ORI SERVICE PACK MOTO G20</t>
  </si>
  <si>
    <t>PLACA ORI TURBO MOTO G20</t>
  </si>
  <si>
    <t xml:space="preserve">Moto G04 G04S E14 c/m CVT </t>
  </si>
  <si>
    <t>PLACA ORIGINAL DE EQUIPO G20</t>
  </si>
  <si>
    <t>Moto G04 c/m Mecanico CVT Crown</t>
  </si>
  <si>
    <t xml:space="preserve">PLACA ORI TURBO MOTO G22 </t>
  </si>
  <si>
    <t>Moto G04s c/m mecanico</t>
  </si>
  <si>
    <t>PLACA ORIGINAL SERVICE PACK G22</t>
  </si>
  <si>
    <t>5D68C24245</t>
  </si>
  <si>
    <t>Moto G04s orig service pack c/m</t>
  </si>
  <si>
    <t>PLACA ORIGINAL DE EQUIPO G22</t>
  </si>
  <si>
    <t>PLACA ORI TURBO MOTO G24</t>
  </si>
  <si>
    <t>MOD-SERVICEPACK-MOTO-G05</t>
  </si>
  <si>
    <t>Moto G05 orig service pack c/m</t>
  </si>
  <si>
    <t>PLACA ORIGINAL DE EQUIPO G24 / G24 POWER</t>
  </si>
  <si>
    <t>Moto G05 c/m</t>
  </si>
  <si>
    <t>PLACA ORI TURBO MOTO G30</t>
  </si>
  <si>
    <t>PLACA ORI TURBO MOTO G31</t>
  </si>
  <si>
    <t>Moto G05</t>
  </si>
  <si>
    <t>PLACA ORI TURBO MOTO G32</t>
  </si>
  <si>
    <t xml:space="preserve">PLACA ORI TURBO MOTO G41 </t>
  </si>
  <si>
    <t>PLACA ORI TURBO MOTO G42</t>
  </si>
  <si>
    <t>Moto G05 / E15 CVT</t>
  </si>
  <si>
    <t>PLACA ORIGINAL DE EQUIPO G42</t>
  </si>
  <si>
    <t>PLACA ORI SERVICE PACK G51</t>
  </si>
  <si>
    <t>PLACA ORI TURBO MOTO G51</t>
  </si>
  <si>
    <t>Moto G05 mecanico</t>
  </si>
  <si>
    <t>PLACA ORI TURBO MOTO G52</t>
  </si>
  <si>
    <t>PLACA ORI TURBO MOTO G54</t>
  </si>
  <si>
    <t>MODULO MOTOROLA MOTO G06</t>
  </si>
  <si>
    <t>Moto G06</t>
  </si>
  <si>
    <t>PLACA ORI TURBO MOTO G60S</t>
  </si>
  <si>
    <t>MOD-MOT-G06-SP</t>
  </si>
  <si>
    <t>PLACA ORI TURBO MOTO G71</t>
  </si>
  <si>
    <t>Moto G06 orig service pack c/m</t>
  </si>
  <si>
    <t>PLACA ORI TURBO MOTO G72</t>
  </si>
  <si>
    <t>Moto G5s plus</t>
  </si>
  <si>
    <t>PLACA ORI TURBO MOTO G84</t>
  </si>
  <si>
    <t>PLACA ORI TURBO MOTO G85</t>
  </si>
  <si>
    <t>Moto G6 play/E5  mecanico</t>
  </si>
  <si>
    <t>PLACA ORIGINAL 100% SERVICE PACK G85</t>
  </si>
  <si>
    <t xml:space="preserve">Moto G7/G7 plus  </t>
  </si>
  <si>
    <t>PLACA ORI TURBO MOTO G86</t>
  </si>
  <si>
    <t>PLACA ORI TURBO MOTO G100</t>
  </si>
  <si>
    <t>MOD-MOT-G7-MEC</t>
  </si>
  <si>
    <t>Moto G7/G7 plus mecanico</t>
  </si>
  <si>
    <t>PLACA ORIGINAL DE EQUIPO G100</t>
  </si>
  <si>
    <t>PLACA ORI TURBO MOTO G200</t>
  </si>
  <si>
    <t>Moto G7 play</t>
  </si>
  <si>
    <t>PLACA ORIGINAL DE EQUIPO G200</t>
  </si>
  <si>
    <t>PLACA ORI TURBO MOTO ONE ACTION</t>
  </si>
  <si>
    <t xml:space="preserve">Moto G7 power </t>
  </si>
  <si>
    <t>PLACA ORI TURBO MOTO ONE HYPER</t>
  </si>
  <si>
    <t>MOD-MOT-G7PW-MEC</t>
  </si>
  <si>
    <t>Moto G7 power mecanico</t>
  </si>
  <si>
    <t xml:space="preserve">PLACA ORI TURBO MOTO ONE FUSION  </t>
  </si>
  <si>
    <t xml:space="preserve">PLACA ORI TURBO MOTO ONE MACRO </t>
  </si>
  <si>
    <t>Moto G8 mecanico</t>
  </si>
  <si>
    <t>PLACA ORI TURBO MOTO EDGE 20 LITE</t>
  </si>
  <si>
    <t>Moto G8 play</t>
  </si>
  <si>
    <t>PLACA ORI TURBO MOTO EDGE 30</t>
  </si>
  <si>
    <t xml:space="preserve">PLACA ORI TURBO MOTO EDGE 30 NEO </t>
  </si>
  <si>
    <t>MOD-G8PLY-MEC</t>
  </si>
  <si>
    <t>Moto G8 play mecanico</t>
  </si>
  <si>
    <t>PLACA ORI TURBO MOTO EDGE 30 FUSION</t>
  </si>
  <si>
    <t xml:space="preserve">Moto G8 plus </t>
  </si>
  <si>
    <t>PLACA ORIGINAL DE EQUIPO EDGE 30 FUSION</t>
  </si>
  <si>
    <t>MOD-G8PLS-MEC</t>
  </si>
  <si>
    <t xml:space="preserve">PLACA ORI TURBO MOTO EDGE 30 ULTRA </t>
  </si>
  <si>
    <t>Moto G8 plus mecanico</t>
  </si>
  <si>
    <t>PLACA ORI TURBO MOTO EDGE 40</t>
  </si>
  <si>
    <t xml:space="preserve">Moto G8 power </t>
  </si>
  <si>
    <t>PLACA ORI TURBO MOTO EDGE 40 NEO</t>
  </si>
  <si>
    <t>MOD-MOT-G8PW-MEC</t>
  </si>
  <si>
    <t>PLACA ORI TURBO MOTO EDGE 50 NEO</t>
  </si>
  <si>
    <t>Moto G8 power mecanico</t>
  </si>
  <si>
    <t>PLACA ORI TURBO MOTO EDGE 50 ULTRA</t>
  </si>
  <si>
    <t xml:space="preserve">Moto G8 power lite </t>
  </si>
  <si>
    <t>PLACA ORI TURBO MOTO EDGE 60 FUSION SERVICE PACK</t>
  </si>
  <si>
    <t>Moto G9 play / E7 PLUS</t>
  </si>
  <si>
    <t xml:space="preserve">Flex power E5 / G6 PLAY </t>
  </si>
  <si>
    <t>Moto G9 play  / E7 PLUS MECANICO CVT</t>
  </si>
  <si>
    <t>Flex power G04</t>
  </si>
  <si>
    <t>Moto G9 play c/m</t>
  </si>
  <si>
    <t>Flex power G7</t>
  </si>
  <si>
    <t>MOD-G9PLY-CM-MEC</t>
  </si>
  <si>
    <t>Flex power G7 power</t>
  </si>
  <si>
    <t>Moto G9 play c/m mecanico</t>
  </si>
  <si>
    <t xml:space="preserve">Flex power G8 PLAY </t>
  </si>
  <si>
    <t xml:space="preserve">Moto G9 plus </t>
  </si>
  <si>
    <t>Flex power G9 +</t>
  </si>
  <si>
    <t xml:space="preserve">Flex power G9 POWER </t>
  </si>
  <si>
    <t>Moto G9 plus mecanico</t>
  </si>
  <si>
    <t xml:space="preserve">Flex power G13/G23/G53 </t>
  </si>
  <si>
    <t>MOD-G9 PLUS-MARCO</t>
  </si>
  <si>
    <t>Moto G9 plus c/m</t>
  </si>
  <si>
    <t xml:space="preserve">Flex power G20/G30 </t>
  </si>
  <si>
    <t>Flex power G22</t>
  </si>
  <si>
    <t xml:space="preserve">Flex power G31/G41 </t>
  </si>
  <si>
    <t xml:space="preserve">Moto G9 power </t>
  </si>
  <si>
    <t>Flex power G32</t>
  </si>
  <si>
    <t>MOD-MOT-G9PW-MEC</t>
  </si>
  <si>
    <t>Moto G9 power mecanico</t>
  </si>
  <si>
    <t xml:space="preserve">Flex power G60S </t>
  </si>
  <si>
    <t xml:space="preserve">Flex power G200 </t>
  </si>
  <si>
    <t>MOT-G9PW-MEC-CM</t>
  </si>
  <si>
    <t>Moto G9 power c/m mecanico</t>
  </si>
  <si>
    <t>Flex power E6S/E6I</t>
  </si>
  <si>
    <t>MODG13-G23</t>
  </si>
  <si>
    <t xml:space="preserve">Flex power E5 PLUS </t>
  </si>
  <si>
    <t>Moto G13 / G23</t>
  </si>
  <si>
    <t xml:space="preserve">Flex power E7 </t>
  </si>
  <si>
    <t>13859-8</t>
  </si>
  <si>
    <t>Moto G13 premium Crown/mecanico</t>
  </si>
  <si>
    <t>Flex power EI</t>
  </si>
  <si>
    <t>Flex power E7 +</t>
  </si>
  <si>
    <t>MOD-G13-G23-MARCO</t>
  </si>
  <si>
    <t>Moto G13 / G23  c/m</t>
  </si>
  <si>
    <t>Flex power E13</t>
  </si>
  <si>
    <t>2411180003.</t>
  </si>
  <si>
    <t>Flex power E20/E40</t>
  </si>
  <si>
    <t>Moto G13 mecanico c/m</t>
  </si>
  <si>
    <t xml:space="preserve">Flex power E22/E22I </t>
  </si>
  <si>
    <t>MODULO G13 ORIGINAL SERVICE PACK</t>
  </si>
  <si>
    <t>Moto G13 orig service pack c/m</t>
  </si>
  <si>
    <t>Flex Power G84</t>
  </si>
  <si>
    <t>MOD-MOTO -G14</t>
  </si>
  <si>
    <t>Moto G14 / G54 OLED</t>
  </si>
  <si>
    <t>Flex Power Edge 40</t>
  </si>
  <si>
    <t>MMOTG14CR</t>
  </si>
  <si>
    <t>Moto G14 / G54  Crown/MECANICO</t>
  </si>
  <si>
    <t>Flex Power Edge 40 NEO</t>
  </si>
  <si>
    <t>Flex Power Edge 30</t>
  </si>
  <si>
    <t>Moto G14 c/m MECANICO</t>
  </si>
  <si>
    <t>Flex Power Edge 30 Fusion</t>
  </si>
  <si>
    <t>5D68C23075</t>
  </si>
  <si>
    <t>Moto G14 orig service pack c/m</t>
  </si>
  <si>
    <t>Flex Power Edge 30 NEO</t>
  </si>
  <si>
    <t>13066-0</t>
  </si>
  <si>
    <t xml:space="preserve"> FLEX  HUELLA</t>
  </si>
  <si>
    <t>Moto G15/G15 power</t>
  </si>
  <si>
    <t>FLEX DE HUELLA  E6S</t>
  </si>
  <si>
    <t>Moto G15 premium / CVT</t>
  </si>
  <si>
    <t>Flex huella E7</t>
  </si>
  <si>
    <t>MOD-MOT-G15-MEC</t>
  </si>
  <si>
    <t>Moto G15/G15 power mecanico</t>
  </si>
  <si>
    <t>Flex huella E7 PLUS</t>
  </si>
  <si>
    <t>MOD-SERVICEPACK-G15</t>
  </si>
  <si>
    <t>Moto G15 orig service pack c/m</t>
  </si>
  <si>
    <t>Flex huella E20 /E30/E40</t>
  </si>
  <si>
    <t>Flex huella E22 / E22i</t>
  </si>
  <si>
    <t>MOD-MOT-G15CM</t>
  </si>
  <si>
    <t>Moto G15 c/m</t>
  </si>
  <si>
    <t>Flex huella E32 / G42</t>
  </si>
  <si>
    <t>MOD-G17-G17 POWER</t>
  </si>
  <si>
    <t>Flex huella G8 Plus</t>
  </si>
  <si>
    <t>Moto G17 mecanico / cvt</t>
  </si>
  <si>
    <t>Moto G20 G10 G30</t>
  </si>
  <si>
    <t>Flex huella G9 / G9 PLAY</t>
  </si>
  <si>
    <t>Flex huella G9 PLUS</t>
  </si>
  <si>
    <t>Flex huella G13</t>
  </si>
  <si>
    <t>Moto G20 G10 G30  CROWN MECANICO CVT</t>
  </si>
  <si>
    <t>Flex huella G20</t>
  </si>
  <si>
    <t>Flex huella G22</t>
  </si>
  <si>
    <t>Moto G20 OLED c/m</t>
  </si>
  <si>
    <t>Flex huella G30</t>
  </si>
  <si>
    <t>Flex huella G32</t>
  </si>
  <si>
    <t>MOD-MOT-G10.20.30-CM-MEC</t>
  </si>
  <si>
    <t>Moto G20 mecanico c/m</t>
  </si>
  <si>
    <t>Flex huella G41 / G42</t>
  </si>
  <si>
    <t>Flex huella G51</t>
  </si>
  <si>
    <t xml:space="preserve">Moto G22 / E32 </t>
  </si>
  <si>
    <t>Flex huella G52</t>
  </si>
  <si>
    <t>Flex huella G60S</t>
  </si>
  <si>
    <t>Moto G22 / E32 MECANICO CVT CROWN</t>
  </si>
  <si>
    <t>Flex huella ONE FUSION</t>
  </si>
  <si>
    <t xml:space="preserve"> FLEX MAIN</t>
  </si>
  <si>
    <t>MMOTG22CM</t>
  </si>
  <si>
    <t>Moto G22 c/m</t>
  </si>
  <si>
    <t>Flex main G7 play</t>
  </si>
  <si>
    <t>MOT-G22-MEC-CM</t>
  </si>
  <si>
    <t>Moto G22 c/m mecanico</t>
  </si>
  <si>
    <t>Flex main G7 power</t>
  </si>
  <si>
    <t>Flex main G9 +</t>
  </si>
  <si>
    <t>Moto G23</t>
  </si>
  <si>
    <t>Flex main G9 POWER</t>
  </si>
  <si>
    <t>Moto G23 premium Crown/mecanico</t>
  </si>
  <si>
    <t>Flex main One fusion</t>
  </si>
  <si>
    <t>LENTES DE CAMARA</t>
  </si>
  <si>
    <t>Moto G23 / G13 c/m</t>
  </si>
  <si>
    <t>Lente de camara E5 +</t>
  </si>
  <si>
    <t>Moto G23  mecanico c/m</t>
  </si>
  <si>
    <t>Lente de camara E6 +</t>
  </si>
  <si>
    <t>C22092</t>
  </si>
  <si>
    <t>Lente de camara E6 play</t>
  </si>
  <si>
    <t>Moto G23 orig service pack c/m</t>
  </si>
  <si>
    <t>Lente de camara E6S</t>
  </si>
  <si>
    <t>Lente de camara E7</t>
  </si>
  <si>
    <t>Moto G24</t>
  </si>
  <si>
    <t>Lente de camara E7 I Power</t>
  </si>
  <si>
    <t xml:space="preserve">Lente de camara E7 + </t>
  </si>
  <si>
    <t>Moto G24 / G24 power CVT</t>
  </si>
  <si>
    <t>Lente de camara E13</t>
  </si>
  <si>
    <t>Lente de camara E15</t>
  </si>
  <si>
    <t>Moto G24 / G24 power mecanico</t>
  </si>
  <si>
    <t>Lente de camara E22</t>
  </si>
  <si>
    <t>Lente de camara E40</t>
  </si>
  <si>
    <t>Moto G24/ G24 power  Mecanico c/m</t>
  </si>
  <si>
    <t>Lente de camara G04</t>
  </si>
  <si>
    <t>MOD-G24-PREM</t>
  </si>
  <si>
    <t>Moto G24 / G24 power c/m premium (con vibrador,parlante y flex lateral)</t>
  </si>
  <si>
    <t>Lente de camara G05</t>
  </si>
  <si>
    <t>MMOTG24PCM</t>
  </si>
  <si>
    <t>Moto G24/ G24 power orig service pack c/m</t>
  </si>
  <si>
    <t>Lente de camara G7 PLAY</t>
  </si>
  <si>
    <t>Moto G30 c/m</t>
  </si>
  <si>
    <t xml:space="preserve">Lente de camara G7 PLUS </t>
  </si>
  <si>
    <t>Lente de camara G7 Power</t>
  </si>
  <si>
    <t xml:space="preserve">Moto G30 </t>
  </si>
  <si>
    <t>Lente de camara G8</t>
  </si>
  <si>
    <t>Lente de camara G8 power lite</t>
  </si>
  <si>
    <t>Moto G30 crown / mecanico</t>
  </si>
  <si>
    <t>Lente de camara G8 plus</t>
  </si>
  <si>
    <t>Lente de camara G9 / G9 Plus</t>
  </si>
  <si>
    <t>Moto G30 mecanico c/m</t>
  </si>
  <si>
    <t>Lente de camara G9 Plus</t>
  </si>
  <si>
    <t>Moto G31/G41/G71 oled</t>
  </si>
  <si>
    <t>Lente de camara G9 Power</t>
  </si>
  <si>
    <t>Lente de camara G13</t>
  </si>
  <si>
    <t>MOT-G31-41-71-MEC</t>
  </si>
  <si>
    <t>Moto G31/G41/G71 big oled mecanico</t>
  </si>
  <si>
    <t>Lente de camara G15</t>
  </si>
  <si>
    <t>MOD-G314171-INC</t>
  </si>
  <si>
    <t>Moto G31/G41/G71 incell</t>
  </si>
  <si>
    <t>Lente de camara G20</t>
  </si>
  <si>
    <t>lente de camara G22</t>
  </si>
  <si>
    <t>Moto G31 oled c/m</t>
  </si>
  <si>
    <t>Lente de camara G31 / G41</t>
  </si>
  <si>
    <t>Lente de camara G32</t>
  </si>
  <si>
    <t xml:space="preserve">Moto G31 incell c/m </t>
  </si>
  <si>
    <t xml:space="preserve">Lente de camara G23/G13 </t>
  </si>
  <si>
    <t>MMOTG31T</t>
  </si>
  <si>
    <t>Moto G31 T20 c/m</t>
  </si>
  <si>
    <t>MOD-G314171-SVP</t>
  </si>
  <si>
    <t>Lente de camara G42</t>
  </si>
  <si>
    <t>Moto G31 orig service pack c/m</t>
  </si>
  <si>
    <t xml:space="preserve">Lente de camara G52 </t>
  </si>
  <si>
    <t>Moto G32</t>
  </si>
  <si>
    <t>Lente de camara G60s</t>
  </si>
  <si>
    <t>Lente de camara G100</t>
  </si>
  <si>
    <t>MOT-G32-MEC</t>
  </si>
  <si>
    <t>Moto G32 Crown/mecanico</t>
  </si>
  <si>
    <t>Lente de camara G200</t>
  </si>
  <si>
    <t>MOD-G32-CMMEC</t>
  </si>
  <si>
    <t>Moto G32 c/m mecanico</t>
  </si>
  <si>
    <t>Lente de camara One Vision</t>
  </si>
  <si>
    <t>Lente de camara One Fusion</t>
  </si>
  <si>
    <t>MOD-G32-SVP</t>
  </si>
  <si>
    <t>Moto G32 orig service pack c/m</t>
  </si>
  <si>
    <t>Lente de camara One Hyper</t>
  </si>
  <si>
    <t>M5D68C28856</t>
  </si>
  <si>
    <t>Moto G35 orig service pack c/m</t>
  </si>
  <si>
    <t>Lente de camara Edge 20 pro</t>
  </si>
  <si>
    <t>Lente de camara Edge 30 NEO</t>
  </si>
  <si>
    <t>Moto G35</t>
  </si>
  <si>
    <t>Lente de camara Edge 30 FUSION</t>
  </si>
  <si>
    <t>MOT-G35-MEC</t>
  </si>
  <si>
    <t>Lente de camara Edge 30 ULTRA</t>
  </si>
  <si>
    <t>Moto G35 mecanico / CVT</t>
  </si>
  <si>
    <t xml:space="preserve">Lente de camara Edge </t>
  </si>
  <si>
    <t>MMOT41T</t>
  </si>
  <si>
    <t>Moto G41 T20 c/m</t>
  </si>
  <si>
    <t>Lente de camara Edge 50 fusion</t>
  </si>
  <si>
    <t>MMOTG41CM</t>
  </si>
  <si>
    <t>Moto G41 oled c/m</t>
  </si>
  <si>
    <t>Bandeja Porta sim Moto G04</t>
  </si>
  <si>
    <t>2405140005.</t>
  </si>
  <si>
    <t>Moto G42 incell mecanico</t>
  </si>
  <si>
    <t>Bandeja Porta sim Moto G6 PLAY</t>
  </si>
  <si>
    <t>MOD-MTG42-INC/M</t>
  </si>
  <si>
    <t>Moto G42 incell c/m</t>
  </si>
  <si>
    <t>Bandeja Porta sim Moto G 7 / G7 PLUS</t>
  </si>
  <si>
    <t>Bandeja Porta sim Moto G 7 POWER</t>
  </si>
  <si>
    <t>Moto G42 oled</t>
  </si>
  <si>
    <t>Bandeja Porta sim Moto G 8</t>
  </si>
  <si>
    <t>Bandeja Porta sim Moto G 8 PLAY</t>
  </si>
  <si>
    <t>MM G42 CM</t>
  </si>
  <si>
    <t>Moto G42 oled c/m</t>
  </si>
  <si>
    <t>Bandeja Porta sim Moto G 8 PLUS</t>
  </si>
  <si>
    <t>Bandeja Porta sim Moto G 8 POWER</t>
  </si>
  <si>
    <t>Bandeja Porta sim Moto G 8 POWER LITE</t>
  </si>
  <si>
    <t>Moto G42  mecanico c/m T20</t>
  </si>
  <si>
    <t>Bandeja Porta sim Moto G 9 PLAY</t>
  </si>
  <si>
    <t>Bandeja Porta sim Moto G 9 POWER</t>
  </si>
  <si>
    <t>G-42- SERVI PACK</t>
  </si>
  <si>
    <t>Moto G42 orig service pack c/m</t>
  </si>
  <si>
    <t>Bandeja Porta sim Moto G 9 PLUS</t>
  </si>
  <si>
    <t>MOD-G51-CMME</t>
  </si>
  <si>
    <t>Bandeja Porta sim Moto G10</t>
  </si>
  <si>
    <t>Moto G51 c/m mecanico</t>
  </si>
  <si>
    <t>Bandeja Porta sim Moto G13</t>
  </si>
  <si>
    <t>Moto G54</t>
  </si>
  <si>
    <t>Bandeja Porta simM oto G20</t>
  </si>
  <si>
    <t>Moto G54 Crown/MECANICO</t>
  </si>
  <si>
    <t>Bandeja Porta sim Moto G22</t>
  </si>
  <si>
    <t>Bandeja Porta sim Moto G23</t>
  </si>
  <si>
    <t>MOD-MOTG54-SP</t>
  </si>
  <si>
    <t>Moto G54 orig service pack  c/m</t>
  </si>
  <si>
    <t>Bandeja Porta sim Moto G34</t>
  </si>
  <si>
    <t>MOD-G56</t>
  </si>
  <si>
    <t xml:space="preserve">Moto G56 </t>
  </si>
  <si>
    <t>Bandeja Porta sim Moto G42</t>
  </si>
  <si>
    <t>MOD-G56-SERVICEPACK</t>
  </si>
  <si>
    <t>Bandeja Porta sim Moto G52 / G82</t>
  </si>
  <si>
    <t>Moto G56 orig service pack c/m</t>
  </si>
  <si>
    <t>Bandeja Porta sim Moto G53</t>
  </si>
  <si>
    <t>Moto G60 / G60s / G51</t>
  </si>
  <si>
    <t>Bandeja Porta sim Moto G54</t>
  </si>
  <si>
    <t>Bandeja Porta sim Moto G71</t>
  </si>
  <si>
    <t>MOT-G51-G60S-MEC</t>
  </si>
  <si>
    <t>Moto G60 / G60s / G51 mecanico / premiun</t>
  </si>
  <si>
    <t>Bandeja Porta sim Moto G72</t>
  </si>
  <si>
    <t xml:space="preserve">Moto G60s c/m mecanico </t>
  </si>
  <si>
    <t>Bandeja Porta sim Moto G73</t>
  </si>
  <si>
    <t>MD-G60S-ORG</t>
  </si>
  <si>
    <t>Bandeja Porta sim Moto G84</t>
  </si>
  <si>
    <t>Moto G60s orig service pack c/m</t>
  </si>
  <si>
    <t>Bandeja Porta sim Moto EDGE</t>
  </si>
  <si>
    <t>MOD-G60S-PRM</t>
  </si>
  <si>
    <t>Moto G60S c/m premium (con vibrador,parlante y flex lateral)</t>
  </si>
  <si>
    <t>Bandeja Porta sim Moto Edge 20 Lite</t>
  </si>
  <si>
    <t>Moto G52/G82/G71s/Edge 30 oled</t>
  </si>
  <si>
    <t>Bandeja Porta sim Moto Edge 20 PRO</t>
  </si>
  <si>
    <t>MOT-G52-G72-ED30-MEC</t>
  </si>
  <si>
    <t>Bandeja Porta sim Moto Edge 30 Neo</t>
  </si>
  <si>
    <t>Moto G52/G82/G71s/Edge 30 oled MECANICO</t>
  </si>
  <si>
    <t>Bandeja Porta sim Moto Edge 30 Utra</t>
  </si>
  <si>
    <t>MOTO G52/G82 incell premium con marco MECANICO</t>
  </si>
  <si>
    <t xml:space="preserve">Bandeja Porta sim Moto Edge 40 </t>
  </si>
  <si>
    <t>Bandeja Porta sim Moto Edge 40 Neo</t>
  </si>
  <si>
    <t>Moto G52 orig service pack c/m</t>
  </si>
  <si>
    <t>Bandeja Porta sim Moto Edge 30 Fusion</t>
  </si>
  <si>
    <t>Bandeja Porta sim Moto Edge 30</t>
  </si>
  <si>
    <t xml:space="preserve">Bandeja Porta sim Moto E 6 PLAY  </t>
  </si>
  <si>
    <t>Bandeja Porta sim Moto E 6 S</t>
  </si>
  <si>
    <t>5D68C19911</t>
  </si>
  <si>
    <t>Moto G71 orig service pack c/m</t>
  </si>
  <si>
    <t>Bandeja Porta sim E6+</t>
  </si>
  <si>
    <t>Bandeja Porta sim Moto E7 plus</t>
  </si>
  <si>
    <t>Moto G82 orig service pack c/m</t>
  </si>
  <si>
    <t>Bandeja Porta sim Moto E7i Power</t>
  </si>
  <si>
    <t>Bandeja Porta sim Moto E7</t>
  </si>
  <si>
    <t>Bandeja Porta sim Moto E13</t>
  </si>
  <si>
    <t>Bandeja Porta sim Moto E20</t>
  </si>
  <si>
    <t>MOD-MOTO-G72</t>
  </si>
  <si>
    <t>Moto G72 orig service pack c/m</t>
  </si>
  <si>
    <t>Bandeja Porta sim Moto E22</t>
  </si>
  <si>
    <t>Bandeja Porta sim Moto E32</t>
  </si>
  <si>
    <t>M5D68C28943</t>
  </si>
  <si>
    <t>Moto G75 orig service pack c/m</t>
  </si>
  <si>
    <t>Bandeja Porta sim Moto E40</t>
  </si>
  <si>
    <t>MOD-G75-OLD</t>
  </si>
  <si>
    <t>Moto G75</t>
  </si>
  <si>
    <t>Antenas G6 Play / E5</t>
  </si>
  <si>
    <t>MOT-G75-MEC</t>
  </si>
  <si>
    <t>Moto G75 mecanico</t>
  </si>
  <si>
    <t>MOD-MOTG67-77-OLD</t>
  </si>
  <si>
    <t>PARLANTE ALTAVOZ</t>
  </si>
  <si>
    <t>Moto G77 / G67 orig service pack c/m</t>
  </si>
  <si>
    <t>Parlante Altavoz Carcaza Motorola G60S</t>
  </si>
  <si>
    <t>5D68C23231</t>
  </si>
  <si>
    <t>Moto G84 orig service pack c/m</t>
  </si>
  <si>
    <t>Parlante Altavoz Carcaza Motorola G200</t>
  </si>
  <si>
    <t>MMOTG85</t>
  </si>
  <si>
    <t>Moto G85 oled</t>
  </si>
  <si>
    <t>Parlante Altavoz Carcaza Motorola EDGE 20 LITE</t>
  </si>
  <si>
    <t>Parlante Altavoz Carcaza Motorola EDGE 30</t>
  </si>
  <si>
    <t>MOD-MOTG85/50FS-MEC</t>
  </si>
  <si>
    <t>Parlante Altavoz Carcaza Motorola EDGE 30 FUSION</t>
  </si>
  <si>
    <t>Moto G85 / Edge 50 fusion original mecanico</t>
  </si>
  <si>
    <t>Parlante Altavoz Carcaza Motorola EDGE 30 PRO</t>
  </si>
  <si>
    <t>MODULO MOTO G85 SVC OLED PRETO C/ARO</t>
  </si>
  <si>
    <t>Moto G85 oled c/m</t>
  </si>
  <si>
    <t>MOD-MTG85-INC-CM</t>
  </si>
  <si>
    <t>Moto G85 incell c/m</t>
  </si>
  <si>
    <t>M5D68C24854</t>
  </si>
  <si>
    <t>Moto G85 orig service pack c/m</t>
  </si>
  <si>
    <t xml:space="preserve">PLACA ORI TURBO K22/K22 PLUS </t>
  </si>
  <si>
    <t>MOD-MOT-G86-OLD</t>
  </si>
  <si>
    <t>Moto G86 oled</t>
  </si>
  <si>
    <t>Moto G86 oled c/m</t>
  </si>
  <si>
    <t>PLACA ORI TURBO K40S</t>
  </si>
  <si>
    <t>13818-5</t>
  </si>
  <si>
    <t>Moto G86 orig service pack c/m</t>
  </si>
  <si>
    <t>PLACA ORI TURBO K41S</t>
  </si>
  <si>
    <t>PLACA ORI TURBO K42</t>
  </si>
  <si>
    <t>Moto G100</t>
  </si>
  <si>
    <t>PLACA ORI TURBO K50S</t>
  </si>
  <si>
    <t>Moto G100 mecanico</t>
  </si>
  <si>
    <t>PLACA ORI TURBO LG K51S</t>
  </si>
  <si>
    <t>5D68C20079</t>
  </si>
  <si>
    <t>Moto G200</t>
  </si>
  <si>
    <t>PLACA ORI TURBO LG K52</t>
  </si>
  <si>
    <t>MOD-G200-CR-MEC</t>
  </si>
  <si>
    <t>Moto G200 mecanico</t>
  </si>
  <si>
    <t>PLACA ORI TURBO K61</t>
  </si>
  <si>
    <t>MOT-G200-MEC-CM</t>
  </si>
  <si>
    <t>Moto G200 original mecanico c/m</t>
  </si>
  <si>
    <t>FLEX DE POWER</t>
  </si>
  <si>
    <t>Flex de power K22</t>
  </si>
  <si>
    <t xml:space="preserve">Moto one </t>
  </si>
  <si>
    <t>Flex de power K42</t>
  </si>
  <si>
    <t>MOT-G8P-OM-MEC</t>
  </si>
  <si>
    <t>Moto one macro mecanico</t>
  </si>
  <si>
    <t>Flex de power K50</t>
  </si>
  <si>
    <t>Moto one power</t>
  </si>
  <si>
    <t>K11 BANDEJA SIM</t>
  </si>
  <si>
    <t xml:space="preserve">Moto one fusion </t>
  </si>
  <si>
    <t>K22 BANDEJA SIM</t>
  </si>
  <si>
    <t>Moto one fusion mecanico CVT</t>
  </si>
  <si>
    <t>K40 BANDEJA SIM</t>
  </si>
  <si>
    <t>AX15699</t>
  </si>
  <si>
    <t>K40S BANDEJA SIM</t>
  </si>
  <si>
    <t xml:space="preserve">Moto One hyper </t>
  </si>
  <si>
    <t>K41 BANDEJA SIM</t>
  </si>
  <si>
    <t>K42/K52 BANDEJA SIM</t>
  </si>
  <si>
    <t xml:space="preserve">Moto One Vision/Action </t>
  </si>
  <si>
    <t>K50 BANDEJA SIM</t>
  </si>
  <si>
    <t>K50S BANDEJA SIN</t>
  </si>
  <si>
    <t>Moto Edge XT2063/XT 2061 original</t>
  </si>
  <si>
    <t>K51 BANDEJA SIM</t>
  </si>
  <si>
    <t>Moto Edge 20 pro orig service pack c/m</t>
  </si>
  <si>
    <t>K51S BANDEJA SIM</t>
  </si>
  <si>
    <t>K52 BANDEJA SIM</t>
  </si>
  <si>
    <t>5D68C21404</t>
  </si>
  <si>
    <t>Moto Edge 30 Neo orig service pack c/m</t>
  </si>
  <si>
    <t>K61 BANDEJA SIM</t>
  </si>
  <si>
    <t>K62 BANDEJA SIM</t>
  </si>
  <si>
    <t>M30EDNEO</t>
  </si>
  <si>
    <t>Moto Edge 30 Neo oled</t>
  </si>
  <si>
    <t>XT2203</t>
  </si>
  <si>
    <t>Moto Edge 30 orig service pack c/m</t>
  </si>
  <si>
    <t>Moto Edge 30 pro orig service pack c/m</t>
  </si>
  <si>
    <t>5D68C21523</t>
  </si>
  <si>
    <t>Moto Edge 30 Fusion orig service pack c/m</t>
  </si>
  <si>
    <t>PLACA ORI TURBO XIAOMI REDMI 7A</t>
  </si>
  <si>
    <t>5D68C21260</t>
  </si>
  <si>
    <t xml:space="preserve">PLACA ORI TURBO XIAOMI REDMI 8A </t>
  </si>
  <si>
    <t>Moto Edge 30 Ultra orig service pack c/m</t>
  </si>
  <si>
    <t>PLACA ORI TURBO XIAOMI REDMI 9A/9C</t>
  </si>
  <si>
    <t>MOD-MOT-ED30ULT-OLD</t>
  </si>
  <si>
    <t>Moto Edge 30 Ultra oled</t>
  </si>
  <si>
    <t>PLACA ORI TURBO XIAOMI MI 8 LITE</t>
  </si>
  <si>
    <t>Moto Edge 40 / 40 neo / Edge 2023 oled</t>
  </si>
  <si>
    <t>PLACA ORI TURBO XIAOMI MI A2</t>
  </si>
  <si>
    <t>PLACA ORI TURBO XIAOMI MI A3</t>
  </si>
  <si>
    <t>5D68C22670</t>
  </si>
  <si>
    <t>Moto Edge 40 orig service pack c/m</t>
  </si>
  <si>
    <t>PLACA DE CARGA XIAOMI REDMI A3 / A3X CALIDAD ORIGINAL</t>
  </si>
  <si>
    <t>MOD-SERVICEPACK-EDGE40NEO</t>
  </si>
  <si>
    <t xml:space="preserve">PLACA ORI TURBO XIAOMI REDMI NOTE 11 4G  </t>
  </si>
  <si>
    <t>Moto Edge 40 neo orig service pack c/m</t>
  </si>
  <si>
    <t xml:space="preserve">PLACA ORI TURBO XIAOMI REDMI NOTE 7/7 PRO </t>
  </si>
  <si>
    <t>5D68C21986</t>
  </si>
  <si>
    <t>Moto Edge 40 pro oled</t>
  </si>
  <si>
    <t xml:space="preserve">PLACA ORI TURBO XIAOMI REDMI NOTE 8 </t>
  </si>
  <si>
    <t>MOD-MOTO-EDGE 40 PRO</t>
  </si>
  <si>
    <t>PLACA ORI TURBO XIAOMI REDMI NOTE 8T</t>
  </si>
  <si>
    <t>Moto Edge 40 pro orig servie pack c/m</t>
  </si>
  <si>
    <t xml:space="preserve">PLACA ORI TURBO XIAOMI REDMI NOTE 8 PRO </t>
  </si>
  <si>
    <t>M5D68C24915</t>
  </si>
  <si>
    <t>PLACA ORI TURBO XIAOMI REDMI NOTE 9</t>
  </si>
  <si>
    <t>Moto Edge 50 orig service pack c/m</t>
  </si>
  <si>
    <t>PLACA ORI TURBO XIAOMI REDMI NOTE 9S/9 PRO</t>
  </si>
  <si>
    <t>M5D68C24092</t>
  </si>
  <si>
    <t>PLACA ORI TURBO XIAOMI REDMI NOTE 12</t>
  </si>
  <si>
    <t>Moto Edge 50 pro orig service pack c/m</t>
  </si>
  <si>
    <t>Moto Edge 50 oled MECANICO</t>
  </si>
  <si>
    <t>MOT-ED50PRO-MEC</t>
  </si>
  <si>
    <t>Moto Edge 50 pro oled MECANICO</t>
  </si>
  <si>
    <t>12882-7</t>
  </si>
  <si>
    <t>Moto Edge 50 pro oled</t>
  </si>
  <si>
    <t>MOD-MOT-ED50N-OLD</t>
  </si>
  <si>
    <t>Moto Edge 50 neo oled</t>
  </si>
  <si>
    <t>MOD-EDGE-50-U</t>
  </si>
  <si>
    <t>Moto Edge 50 ultra orig service pack c/m</t>
  </si>
  <si>
    <t>MMEDGE50FU</t>
  </si>
  <si>
    <t>Moto Edge 50 fusion oled</t>
  </si>
  <si>
    <t>MOD-ED50FS-MEC</t>
  </si>
  <si>
    <t>Moto Edge 50 fusion / G85 original mecanico</t>
  </si>
  <si>
    <t>MOD-EDGE-50-FU</t>
  </si>
  <si>
    <t>Moto Edge 50 fusion orig service pack c/m</t>
  </si>
  <si>
    <t>MOD-ED60PR-SP</t>
  </si>
  <si>
    <t>Moto Edge 60 pro orig service pack c/m</t>
  </si>
  <si>
    <t>MOD-ED60PR-MEC</t>
  </si>
  <si>
    <t>Moto Edge 60 pro oled mecanico</t>
  </si>
  <si>
    <t>MODULO MOTO EDGE 60 ORIGINAL SERVICE PACK</t>
  </si>
  <si>
    <t>PLACA ORI TURBO XIAOMI REDMI NOTE 13 4G</t>
  </si>
  <si>
    <t>Moto Edge 60 orig service pack c/m</t>
  </si>
  <si>
    <t>MOD-60-FUSION-ORIGINAL</t>
  </si>
  <si>
    <t>Moto Edge 60 fusion orig service pack c/m</t>
  </si>
  <si>
    <t>MOD-ED60-60F-OLD</t>
  </si>
  <si>
    <t>Moto Edge 60 / 60 fusion oled</t>
  </si>
  <si>
    <t>5D68C32056</t>
  </si>
  <si>
    <t>Moto Edge 70 fusion orig service pack c/m</t>
  </si>
  <si>
    <t>PLACA ORI TURBO XIAOMI REDMI NOTE 13 5G</t>
  </si>
  <si>
    <t>MOD-RAZR-40-ORIG</t>
  </si>
  <si>
    <t>Moto Razr 40 original</t>
  </si>
  <si>
    <t>PLACA ORI TURBO XIAOMI NOTE 13 PRO 5G</t>
  </si>
  <si>
    <t>PLACA ORI TURBO XIAOMI REDMI NOTE 13 PRO PLUS</t>
  </si>
  <si>
    <t>MOD-RZR40UL</t>
  </si>
  <si>
    <t>Moto Razr 40 ultra original</t>
  </si>
  <si>
    <t>PLACA ORI TURBO XIAOMI REDMI 10C</t>
  </si>
  <si>
    <t>PLACA ORI TURBO XIAOMI REDMI 12C</t>
  </si>
  <si>
    <t>13901-4</t>
  </si>
  <si>
    <t>Moto Razr 50 ultra original</t>
  </si>
  <si>
    <t>13904-5</t>
  </si>
  <si>
    <t>Moto Razr 60 original</t>
  </si>
  <si>
    <t>EDGE20LITE</t>
  </si>
  <si>
    <t>Moto Edge 20 lite oled</t>
  </si>
  <si>
    <t>PLACA ORI TURBO XIAOMI REDMI 13C</t>
  </si>
  <si>
    <t>MOD-MOT.-ED20LITE</t>
  </si>
  <si>
    <t>Moto Edge 20 lite orig service pack c/m</t>
  </si>
  <si>
    <t xml:space="preserve">Moto Edge 20 lite oled con marco </t>
  </si>
  <si>
    <t>MOD-ED20LT-T20</t>
  </si>
  <si>
    <t>Moto Edge 20 lite T20 mecanico c/m</t>
  </si>
  <si>
    <t>PLACA ORI TURBO XIAOMI REDMI 14C</t>
  </si>
  <si>
    <t>PLACA REDMI NOTE 14 PRO 4G CALIDAD ORIGINAL</t>
  </si>
  <si>
    <t>PLACA REDMI NOTE 15 PRO PLUS CALIDAD ORIGINAL</t>
  </si>
  <si>
    <t>Flex de power xiaomi note 7</t>
  </si>
  <si>
    <t>Flex de power xiaomi note 8</t>
  </si>
  <si>
    <t>LG K40 c/m</t>
  </si>
  <si>
    <t>Flex de power xiaomi note 8 pro</t>
  </si>
  <si>
    <t>Flex de power xiaomi note 9s/9 pro</t>
  </si>
  <si>
    <t>Flex de power xiaomi note 10 4g</t>
  </si>
  <si>
    <t>Flex de power xiaomi note 10s</t>
  </si>
  <si>
    <t xml:space="preserve">LG K40s </t>
  </si>
  <si>
    <t>Flex de power xiaomi note 13</t>
  </si>
  <si>
    <t>Flex de power xiaomi redmi 13c</t>
  </si>
  <si>
    <t>Flex de power xiaomi note 13 Pro</t>
  </si>
  <si>
    <t>MOD-LG-K40S-CM</t>
  </si>
  <si>
    <t>LG K40s / Marco</t>
  </si>
  <si>
    <t>Flex de power xiaomi X3 /X3 Pro</t>
  </si>
  <si>
    <t>LG K42/K52/K62 MECANICO / CVT</t>
  </si>
  <si>
    <t>Flex main xiaomi note 7</t>
  </si>
  <si>
    <t>Flex main xiaomi note 11 pro</t>
  </si>
  <si>
    <t>MOD-K42</t>
  </si>
  <si>
    <t xml:space="preserve">LG K42/K52/K62 </t>
  </si>
  <si>
    <t>Flex main xiaomi note 11 4g</t>
  </si>
  <si>
    <t>MOD-K41S-MEC</t>
  </si>
  <si>
    <t>LG K41s mecanico</t>
  </si>
  <si>
    <t>MOD-LG-K50</t>
  </si>
  <si>
    <t xml:space="preserve">LG K50/Q60 </t>
  </si>
  <si>
    <t>Flex Huella Note 8</t>
  </si>
  <si>
    <t xml:space="preserve">LG K50s </t>
  </si>
  <si>
    <t>Xiaomi Note 7 Bandeja Sim</t>
  </si>
  <si>
    <t>LG K50s MECANICO</t>
  </si>
  <si>
    <t xml:space="preserve">LG K51s </t>
  </si>
  <si>
    <t>Xiaomi Note 8 pro Bandeja Sim</t>
  </si>
  <si>
    <t>Xiaomi Note 8 Bandeja Sim</t>
  </si>
  <si>
    <t>MDO-K51S-MEC</t>
  </si>
  <si>
    <t>LG K51s mecanico</t>
  </si>
  <si>
    <t>Xiaomi Note 9 4G Bandeja Sim</t>
  </si>
  <si>
    <t>Xiaomi Redmi 9A/9C</t>
  </si>
  <si>
    <t>Xiaomi Redmi Note 9 PRO Bandeja Sim</t>
  </si>
  <si>
    <t xml:space="preserve">LG K61 </t>
  </si>
  <si>
    <t>Xiaomi MI 9T BANDEJA SIM</t>
  </si>
  <si>
    <t>NOTE 10S 4G BANDEJA SIM</t>
  </si>
  <si>
    <t xml:space="preserve">LG K10 2018/K11 </t>
  </si>
  <si>
    <t>Xiaomi Note 11 4G Bandeja Sim</t>
  </si>
  <si>
    <t>Xiaomi Redmi 13 C Bandeja Sim</t>
  </si>
  <si>
    <t>MOD-LG-K11+</t>
  </si>
  <si>
    <t xml:space="preserve">LG K11 plus c/m </t>
  </si>
  <si>
    <t>NOTE 13 PRO BANDEJA SIM</t>
  </si>
  <si>
    <t xml:space="preserve">Xiaomi Note 13 Bandeja Simple </t>
  </si>
  <si>
    <t xml:space="preserve">LG K20  </t>
  </si>
  <si>
    <t>Xiaomi MI A2 BANDEJA SIM</t>
  </si>
  <si>
    <t>MI 8 LITE BANDEJA SIM</t>
  </si>
  <si>
    <t>MOD-K22-CM</t>
  </si>
  <si>
    <t>LG K22 c/m</t>
  </si>
  <si>
    <t>REDMI 9 BANDEJA SIM</t>
  </si>
  <si>
    <t>REDMI 9C BANDEJA SIM</t>
  </si>
  <si>
    <t>LG K22/K22 +   mecanico / cvt</t>
  </si>
  <si>
    <t>MI 9 LITE BANDEJA SIM</t>
  </si>
  <si>
    <t>REDMI 10C BANDEJA SIM</t>
  </si>
  <si>
    <t>REDMI 12C BANDEJA SIM</t>
  </si>
  <si>
    <t>HUAWEI</t>
  </si>
  <si>
    <t>POCO X3 BANDEJA SIM</t>
  </si>
  <si>
    <t>POCO X3 PRO BANDEJA SIM</t>
  </si>
  <si>
    <t>LENTES DE CAMARAS</t>
  </si>
  <si>
    <t xml:space="preserve">P9 Lite smart  </t>
  </si>
  <si>
    <t xml:space="preserve">Lentes de camara Xiaomi Note 7 </t>
  </si>
  <si>
    <t xml:space="preserve">P10 lite  </t>
  </si>
  <si>
    <t>Lentes de camaras Xiaomi Note 8</t>
  </si>
  <si>
    <t>Lentes de camaras Xiaomi Note 8 PRO</t>
  </si>
  <si>
    <t>Lentes de camaras Xiaomi Note 9 PRO</t>
  </si>
  <si>
    <t>Lente de camara Xiaomi Note 10 5g</t>
  </si>
  <si>
    <t>Lentes de camaras Xiaomi Note 11 4G</t>
  </si>
  <si>
    <t xml:space="preserve">IPHONE 6 premium </t>
  </si>
  <si>
    <t>Lentes de camaras Xiaomi Note 12</t>
  </si>
  <si>
    <t>Lentes de camaras Xiaomi Note 13</t>
  </si>
  <si>
    <t>Lentes de camaras Xiaomi Redmi 13C</t>
  </si>
  <si>
    <t>FLEX DE CARGA</t>
  </si>
  <si>
    <t xml:space="preserve">IPHONE 6s premium </t>
  </si>
  <si>
    <t>FLEX DE CARGA IPHONE SE 2020</t>
  </si>
  <si>
    <t>FLEX DE CARGA IPHONE 6</t>
  </si>
  <si>
    <t>FLEX DE CARGA IPHONE 6 PLUS</t>
  </si>
  <si>
    <t>FLEX DE CARGA IPHONE 7</t>
  </si>
  <si>
    <t>FLEX DE CARGA IPHONE 7 PLUS</t>
  </si>
  <si>
    <t>FLEX DE CARGA IPHONE 8</t>
  </si>
  <si>
    <t>FLEX DE CARGA IPHONE 8+</t>
  </si>
  <si>
    <t xml:space="preserve">IPHONE 6 plus premium  </t>
  </si>
  <si>
    <t>FLEX DE CARGA IPHONE X</t>
  </si>
  <si>
    <t>FLEX DE CARGA IPHONE XS</t>
  </si>
  <si>
    <t>IPHONE 6s plus premium</t>
  </si>
  <si>
    <t>FLEX DE CARGA IPHONE XS MAX</t>
  </si>
  <si>
    <t>FLEX DE CARGA IPHONE XR</t>
  </si>
  <si>
    <t>FLEX DE CARGA IPHONE 11</t>
  </si>
  <si>
    <t>FLEX DE CARGA IPHONE 11 PRO</t>
  </si>
  <si>
    <t xml:space="preserve">IPHONE 7 premium </t>
  </si>
  <si>
    <t>FLEX DE CARGA IPHONE 11 PRO MAX</t>
  </si>
  <si>
    <t>FLEX DE CARGA IPHONE 12</t>
  </si>
  <si>
    <t>FLEX DE CARGA IPHONE 12 PRO</t>
  </si>
  <si>
    <t>FLEX DE CARGA IPHONE 12 PRO MAX</t>
  </si>
  <si>
    <t>FLEX DE CARGA IPHONE 13</t>
  </si>
  <si>
    <t>FLEX DE CARGA IPHONE 13 PRO</t>
  </si>
  <si>
    <t>FLEX DE CARGA IPHONE 13 PRO MAX</t>
  </si>
  <si>
    <t>FLEX DE CARGA IPHONE 14</t>
  </si>
  <si>
    <t xml:space="preserve">IPHONE 7 plus premium </t>
  </si>
  <si>
    <t>FLEX DE CARGA IPHONE 14 PRO</t>
  </si>
  <si>
    <t xml:space="preserve">IPHONE 8 premium </t>
  </si>
  <si>
    <t>FLEX DE CARGA IPHONE 14 PRO MAX</t>
  </si>
  <si>
    <t>IPH 15 PLACA DE CARGA</t>
  </si>
  <si>
    <t xml:space="preserve">IPHONE 8 plus </t>
  </si>
  <si>
    <t>IPH 15 PLUS PLACA DE CARGA</t>
  </si>
  <si>
    <t>IPH 15 PRO PLACA DE CARGA</t>
  </si>
  <si>
    <t>IPHONE X JK incell premium</t>
  </si>
  <si>
    <t>IPH 15 PRO MAX PLACA DE CARGA</t>
  </si>
  <si>
    <t>FLEX DE CAMARA DELANTERA</t>
  </si>
  <si>
    <t>IPHONE X AMP MECANICO</t>
  </si>
  <si>
    <t>FLEX DE CAMARA DELANTERA IPHONE 7</t>
  </si>
  <si>
    <t>FLEX DE CAMARA DELANTERA IPHONE 8</t>
  </si>
  <si>
    <t>FLEX DE CAMARA DELANTERA IPHONE 7 PLUS</t>
  </si>
  <si>
    <t>FLEX DE CAMARA DELANTERA IPHONE 8 PLUS</t>
  </si>
  <si>
    <t xml:space="preserve">IPHONE X GX oled </t>
  </si>
  <si>
    <t xml:space="preserve">LENTES DE CAMARA </t>
  </si>
  <si>
    <t>MOD.-IPHXR-JK</t>
  </si>
  <si>
    <t xml:space="preserve">IPHONE XR JK </t>
  </si>
  <si>
    <t>7G/8G LENTE DE CAMARA</t>
  </si>
  <si>
    <t>IPHONE XR ORIGINAL MECANICO</t>
  </si>
  <si>
    <t>7 PLUS/8 PLUS LENTE DE CAMARA</t>
  </si>
  <si>
    <t>X LENTE DE CAMARA</t>
  </si>
  <si>
    <t>IPHONE XS MECANICO</t>
  </si>
  <si>
    <t>IPH 11 LENTE DE CAMARA</t>
  </si>
  <si>
    <t>IPH 11 PRO LENTE DE CAMARA</t>
  </si>
  <si>
    <t>8103-0</t>
  </si>
  <si>
    <t>IPHONE 11 JK APTO CAMBIO IC</t>
  </si>
  <si>
    <t>IPH 11 PRO MAX LENTE DE CAMARA</t>
  </si>
  <si>
    <t>IPH XR LENTE DE CAMARA</t>
  </si>
  <si>
    <t>IPH XS LENTE DE CAMARA</t>
  </si>
  <si>
    <t>IPH XS MAX LENTE DE CAMARA</t>
  </si>
  <si>
    <t>MOD-IPH11-MEC</t>
  </si>
  <si>
    <t>IPH 12 LENTE DE CAMARA</t>
  </si>
  <si>
    <t>IPHONE 11 APTO CAMBIO IC MECANICO / GOLD EDITION / CVT</t>
  </si>
  <si>
    <t>IPH 12 PRO LENTE DE CAMARA</t>
  </si>
  <si>
    <t>IPH 12 PRO MAX LENTE DE CAMARA</t>
  </si>
  <si>
    <t>IPHONE 11 APTO CAMBIO IC</t>
  </si>
  <si>
    <t>IPH 13 LENTE DE CAMARA</t>
  </si>
  <si>
    <t>IPH 13 PRO LENTE DE CAMARA</t>
  </si>
  <si>
    <t>IPH 13 PRO MAX LENTE DE CAMARA</t>
  </si>
  <si>
    <t>IPHONE 11 PRO MECANICO APTO CAMBIO IC</t>
  </si>
  <si>
    <t>IPH 14 LENTE DE CAMARA</t>
  </si>
  <si>
    <t>IPH 14 PRO LENTE DE CAMARA</t>
  </si>
  <si>
    <t>MOD-IPH11PM-JK-INC</t>
  </si>
  <si>
    <t>IPHONE 11 PRO MAX INCELL JK APTO CAMBIO IC</t>
  </si>
  <si>
    <t>IPH 14 PRO MAX LENTE DE CAMARA</t>
  </si>
  <si>
    <t>IPH 15 LENTE DE CAMARA</t>
  </si>
  <si>
    <t>IPHONE 11 PRO MAX SOFT OLED  APTO CAMBIO IC JK</t>
  </si>
  <si>
    <t>IPH 15 PRO LENTE DE CAMARA</t>
  </si>
  <si>
    <t>BANDEJAS SIM</t>
  </si>
  <si>
    <t>IPHONE 12 MINI FHD APTO CAMBIO IC MECANICO</t>
  </si>
  <si>
    <t>7G BANDEJA SIM</t>
  </si>
  <si>
    <t>NUEVO</t>
  </si>
  <si>
    <t>IPHONE 12/ 12 PRO INCELL MECANICO IC TRANSPLANTABLE</t>
  </si>
  <si>
    <t>IPH 8 PLUS BANDEJA SIM</t>
  </si>
  <si>
    <t>MOD-12-PM-IN-JK</t>
  </si>
  <si>
    <t>IPHONE 12 / 12 PRO INCELL JK / CVT IC TRASPLANTABLE</t>
  </si>
  <si>
    <t>IPH 8G BANDEJA SIM</t>
  </si>
  <si>
    <t>IPH X BANDEJA SIM</t>
  </si>
  <si>
    <t>12695-3</t>
  </si>
  <si>
    <t>IPHONE 12/12 PRO SOFT OLED APTO CAMBIO IC JK</t>
  </si>
  <si>
    <t>IPH XS BANDEJA SIM</t>
  </si>
  <si>
    <t>IPH XS MAX BANDEJA SIM</t>
  </si>
  <si>
    <t>MOD-IPH12/PR-SFOLD-MEC</t>
  </si>
  <si>
    <t>IPHONE 12/12 PRO OLED APTO CAMBIO IC MECANICO</t>
  </si>
  <si>
    <t>IPH XR BANDEJA SIM</t>
  </si>
  <si>
    <t>IPH 11 BANDEJA SIM</t>
  </si>
  <si>
    <t>MOD-IPH12/12PRO-ATPRG-JCID</t>
  </si>
  <si>
    <t>IPHONE 12/12 PRO OLED JCID AUTOPROGRAMABLE</t>
  </si>
  <si>
    <t>IPH 11 PLUS BANDEJA SIM</t>
  </si>
  <si>
    <t>MOD-IPH-12PRM-ATPRG-JCID</t>
  </si>
  <si>
    <t>IPH 11 PRO BANDEJA SIM</t>
  </si>
  <si>
    <t>PHONE 12 PRO MAX OLED AUTOPROGRAMABLE JCID</t>
  </si>
  <si>
    <t>IPH 11 PRO MAX BANDEJA SIM</t>
  </si>
  <si>
    <t>IPH 12 BANDEJA SIM</t>
  </si>
  <si>
    <t>IPHONE 12 PRO MAX INCELL  APTO CAMBIO IC</t>
  </si>
  <si>
    <t>IPH 12 PRO BANDEJA SIM</t>
  </si>
  <si>
    <t>IPH 12 PRO MAX BANDEJA SIM</t>
  </si>
  <si>
    <t>MOD-IPH-13-JK-INCELL</t>
  </si>
  <si>
    <t>IPHONE 13 INCELL  JK / CVT IC TRASPLANTABLE</t>
  </si>
  <si>
    <t>IPH 13 BANDEJA SIM</t>
  </si>
  <si>
    <t>IPH 13 PRO BANDEJA SIM</t>
  </si>
  <si>
    <t>MOD-IPH13-AUTPROG-JCID</t>
  </si>
  <si>
    <t>IPH 13 PRO MAX BANDEJA SIM</t>
  </si>
  <si>
    <t>IPHONE 13 JCID OLED AUTOPROGRAMABLE</t>
  </si>
  <si>
    <t>IPH 14 BANDEJA SIM</t>
  </si>
  <si>
    <t>IPH 14 PLUS BANDEJA SIM</t>
  </si>
  <si>
    <t>MOD-IPH13-SFOLED-JK</t>
  </si>
  <si>
    <t xml:space="preserve">IPHONE 13 SOFT OLED JK APTO CAMBIO </t>
  </si>
  <si>
    <t>IPH 14 PRO BANDEJA SIM</t>
  </si>
  <si>
    <t>IPH 14 PRO MAX BANDEJA SIM</t>
  </si>
  <si>
    <t>MOD-IPH13-OLD-MEC</t>
  </si>
  <si>
    <t>IPH 15 BANDEJA SIM</t>
  </si>
  <si>
    <t>IPHONE 13 OLED MECANICO APTO CAMBIO IC</t>
  </si>
  <si>
    <t>HUELLA</t>
  </si>
  <si>
    <t>MOD13PRO</t>
  </si>
  <si>
    <t>IPHONE 13 PRO SOFT  OLED IC TRANSPLANTABLE MECANICO</t>
  </si>
  <si>
    <t xml:space="preserve">FLEX HUELLA 7/7 PLU/8/8 PLUS </t>
  </si>
  <si>
    <t>MOD-IPH13-AUT-JCID</t>
  </si>
  <si>
    <t>IPHONE 13 PRO JCID OLED AUTOPROGRAMABLE</t>
  </si>
  <si>
    <t>MOD-IPH13.-INC-JK</t>
  </si>
  <si>
    <t xml:space="preserve">IPHONE 13 PRO INCELL APTO CAMBIO IC JK </t>
  </si>
  <si>
    <t>L13PMAXB</t>
  </si>
  <si>
    <t>IPHONE 13 PRO MAX</t>
  </si>
  <si>
    <t>Placa de carga tcl 10se</t>
  </si>
  <si>
    <t>IPHONE 13 PRO MAX IC TRANSPLANTABLE MECANICO</t>
  </si>
  <si>
    <t>MOD-13PRM-OLD</t>
  </si>
  <si>
    <t>Placa de carga tcl  L10 lite</t>
  </si>
  <si>
    <t>IPHONE 13 PRO MAX OLED  IC TRANSPLANTABLE MECANICO</t>
  </si>
  <si>
    <t>Placa de carga tcl 20b</t>
  </si>
  <si>
    <t>MOD-13PRMX-AUT-JCID</t>
  </si>
  <si>
    <t>IPHONE 13 PRO MAX OLED JCID AUTOPROGRAMABLE</t>
  </si>
  <si>
    <t>Placa de  Carga tcl 20e</t>
  </si>
  <si>
    <t>Placa de carga tcl 20y</t>
  </si>
  <si>
    <t>MOD-IPH14-ATP-OLD-JCID</t>
  </si>
  <si>
    <t>IPHONE 14 OLED AUTOPROGRAMABLE JCID</t>
  </si>
  <si>
    <t>Placa de carga tcl 20y / 20e mecanico</t>
  </si>
  <si>
    <t>Placa de carga tcl 20se</t>
  </si>
  <si>
    <t>13642-6</t>
  </si>
  <si>
    <t>IPHONE 14 INCELL APTO CAMBIO IC JK</t>
  </si>
  <si>
    <t>Placa de carga tcl 30se</t>
  </si>
  <si>
    <t>13731-7</t>
  </si>
  <si>
    <t>Placa de carga tcl 40 nxt paper</t>
  </si>
  <si>
    <t>IPHONE 14 SOFT OLED APTO CAMBIO IC JK</t>
  </si>
  <si>
    <t>Placa de carga tcl 40se Mecanico</t>
  </si>
  <si>
    <t>PLACA DE CARGA TCL 40 NXT PAPER ORIGINAL 100%</t>
  </si>
  <si>
    <t>MIPH14PRO</t>
  </si>
  <si>
    <t xml:space="preserve">IPHONE 14 PRO INCELL APTO CAMBIO IC </t>
  </si>
  <si>
    <t>PLACA DE CARGA TCL 50 / 50 PRO NXT PAPER ORIGINAL 100%</t>
  </si>
  <si>
    <t>MOD-IPH14PR-AUT-JCID</t>
  </si>
  <si>
    <t>PLACA DE CARGA TCL 50 5G ORIGINAL 100%</t>
  </si>
  <si>
    <t>IPHONE 14 PRO OLED AUTOPROGRAMABLE JCID</t>
  </si>
  <si>
    <t>PLACA DE CARGA TCL 40 SE / 505 ORIGINAL 100%</t>
  </si>
  <si>
    <t>MIPH14PROM</t>
  </si>
  <si>
    <t>IPHONE 14 PRO MAX OLED APTO CAMBIO IC</t>
  </si>
  <si>
    <t>PLACA DE CARGA TCL 405 /408 ORIGINAL 100%</t>
  </si>
  <si>
    <t>MOD-IPH12PRMX-AUT-JCID</t>
  </si>
  <si>
    <t>PHONE 14 PRO MAX OLED AUTOPROGRAMABLE JCID</t>
  </si>
  <si>
    <t>Flex power TCL 20Y</t>
  </si>
  <si>
    <t>MOD-IPH15-AUT-JCID</t>
  </si>
  <si>
    <t>IPHONE 15 OLED AUTOPROGRAMABLE JCID</t>
  </si>
  <si>
    <t>Flex power TCL 20 SE</t>
  </si>
  <si>
    <t>Flex power TCL 30 SE</t>
  </si>
  <si>
    <t>MOD-IPH15PRO-INC</t>
  </si>
  <si>
    <t>IPHONE 15 PRO INCELL FHD IC REMOVIBLE PREMIUM 120 hz</t>
  </si>
  <si>
    <t>Flex power TCL 305</t>
  </si>
  <si>
    <t>Flex power TCL 40 SE</t>
  </si>
  <si>
    <t>12680-9</t>
  </si>
  <si>
    <t>Flex powerTCL 405</t>
  </si>
  <si>
    <t>IPHONE 15 PRO JK OLED IC TRANSPLANTABLE</t>
  </si>
  <si>
    <t>Flex power 403</t>
  </si>
  <si>
    <t>Flex power TCL 20E</t>
  </si>
  <si>
    <t>12933-6</t>
  </si>
  <si>
    <t>IPHONE 15 PRO MAX OLED IC TRANSPLANTABLE</t>
  </si>
  <si>
    <t>Flex power TCL 403</t>
  </si>
  <si>
    <t>MOD-IPH16E-OLD-MEC</t>
  </si>
  <si>
    <t>IPHONE 16E OLED MECANICO APTO CAMBIO IC</t>
  </si>
  <si>
    <t>LENTES DE CAMRAS TCL 20Y</t>
  </si>
  <si>
    <t>MOD-IPH16-OLD</t>
  </si>
  <si>
    <t>IPHONE 16 OLED IC TRANSPLANTABLE</t>
  </si>
  <si>
    <t>LENTES DE CAMRAS TCL 20SE</t>
  </si>
  <si>
    <t>LENTES DE CAMARAS TCL 305</t>
  </si>
  <si>
    <t>12937-4</t>
  </si>
  <si>
    <t>IPHONE 16 PRO  MAX OLED IC TRANSPLANTABLE</t>
  </si>
  <si>
    <t>LENTES DE CAMARAS TCL 30E</t>
  </si>
  <si>
    <t>14497-1</t>
  </si>
  <si>
    <t>LENTES DE CAMARAS TCL 405</t>
  </si>
  <si>
    <t>IPHONE 17 OLED APTO CAMBIO IC</t>
  </si>
  <si>
    <t>LENTES DE CAMARAS TCL 40SE</t>
  </si>
  <si>
    <t>14498-8</t>
  </si>
  <si>
    <t>IPHONE 17 PRO OLED APTO CAMBIO IC</t>
  </si>
  <si>
    <t>LENTES DE CAMARAS TCL 30SE</t>
  </si>
  <si>
    <t>LENTES DE CAMARA TCL 505S / 505</t>
  </si>
  <si>
    <t xml:space="preserve">LENTES DE CAMARA TCL 50 5G </t>
  </si>
  <si>
    <t xml:space="preserve">LENTES DE CAMARA TCL 40 NXT PAPER </t>
  </si>
  <si>
    <t>MOD-TCL40NXTP</t>
  </si>
  <si>
    <t xml:space="preserve">TCL 40 NXTPaper / 50SE </t>
  </si>
  <si>
    <t>BANDEJAS PORTA SIM</t>
  </si>
  <si>
    <t>L10 LITE BANDEJA SIM</t>
  </si>
  <si>
    <t>20B BANDEJA SIM</t>
  </si>
  <si>
    <t>TCL 40 NXTPaper / 50SE  mecanico</t>
  </si>
  <si>
    <t>20E BANDEJA SIM</t>
  </si>
  <si>
    <t>20SE BANDEJA SIM</t>
  </si>
  <si>
    <t>20Y BANDEJA SIM</t>
  </si>
  <si>
    <t>MOD-TCL-605</t>
  </si>
  <si>
    <t>TCL 605 MECANICO</t>
  </si>
  <si>
    <t>30E BANDEJA SIM</t>
  </si>
  <si>
    <t>30SE BANDEJA SIM</t>
  </si>
  <si>
    <t>TCL 50 pro 5g</t>
  </si>
  <si>
    <t>TCL 40 NXTPAPER BANDEJA SIM</t>
  </si>
  <si>
    <t>40SE BANDEJA SIM</t>
  </si>
  <si>
    <t>13843-7</t>
  </si>
  <si>
    <t>TCL 50 5g / 50xe</t>
  </si>
  <si>
    <t>305 BANDEJA SIM</t>
  </si>
  <si>
    <t>403 BANDEJA SIM</t>
  </si>
  <si>
    <t>MOD-TCL50-5G-CM</t>
  </si>
  <si>
    <t>TCL 50 5g CON MARCO ORIGINAL 100%</t>
  </si>
  <si>
    <t>405/408 BANDEJA SIM</t>
  </si>
  <si>
    <t>ZTE</t>
  </si>
  <si>
    <t xml:space="preserve">TCL 505 </t>
  </si>
  <si>
    <t>TCL 505 MECANICO</t>
  </si>
  <si>
    <t>ZTE BLADE A72S</t>
  </si>
  <si>
    <t>MOD-TCL-501-CVT</t>
  </si>
  <si>
    <t>TCL 501</t>
  </si>
  <si>
    <t>ZTE V30</t>
  </si>
  <si>
    <t>13845-1</t>
  </si>
  <si>
    <t>TCL 503</t>
  </si>
  <si>
    <t>ZTE V30 VITA</t>
  </si>
  <si>
    <t>ZTE BLADE A54</t>
  </si>
  <si>
    <t>MOD-TCL503-MEC</t>
  </si>
  <si>
    <t>TCL 503 MECANICO / CVT</t>
  </si>
  <si>
    <t>13846-8</t>
  </si>
  <si>
    <t xml:space="preserve">TCL 50 NXT PAPER </t>
  </si>
  <si>
    <t>FLEX POWER ZTE A53</t>
  </si>
  <si>
    <t>TCL 50 NXT PAPER MECANICO</t>
  </si>
  <si>
    <t>PLACA DE CARGA A53 PLUS</t>
  </si>
  <si>
    <t xml:space="preserve">TCL 408 / 405 </t>
  </si>
  <si>
    <t xml:space="preserve">PLACA DE CARGA V30 BLADE ZTE </t>
  </si>
  <si>
    <t xml:space="preserve">PLACA DE CARGA ZTE A35 /A55 100 % ORIGINAL </t>
  </si>
  <si>
    <t>TCL 408 / 405 MECANICO / PREMIUM / CVT</t>
  </si>
  <si>
    <t xml:space="preserve">PLACA DE CARGA V30 VITA ZTE </t>
  </si>
  <si>
    <t>MOD-TCL-403</t>
  </si>
  <si>
    <t>TCL 403 CVT</t>
  </si>
  <si>
    <t xml:space="preserve">PLACA DE CARGA V40 BLADE ZTE </t>
  </si>
  <si>
    <t xml:space="preserve">PLACA DE CARGA V40 VITA </t>
  </si>
  <si>
    <t>MOD-TCL-20Y</t>
  </si>
  <si>
    <t>TCL 20Y/20E</t>
  </si>
  <si>
    <t>PLACA DE CARGA V50 VITA</t>
  </si>
  <si>
    <t xml:space="preserve">PLACA DE CARGA A51 ZTE </t>
  </si>
  <si>
    <t>MOD-TCL20E-Y-OLED</t>
  </si>
  <si>
    <t>TCL 20Y/20E MECANICO / CVT</t>
  </si>
  <si>
    <t xml:space="preserve">PLACA DE CARGA A54 ZTE </t>
  </si>
  <si>
    <t>PLACA DE CARGA A75 ZTE 100% ORIGINAL</t>
  </si>
  <si>
    <t xml:space="preserve">TCL 20 SE </t>
  </si>
  <si>
    <t>PLACA DE CARGA A72 ZTE BLADE</t>
  </si>
  <si>
    <t>MOD-TCL-20SE-MEC</t>
  </si>
  <si>
    <t>TCL 20 SE MECANICO</t>
  </si>
  <si>
    <t>PLACAS DE CARGA TECNO - INFINIX - OPPO - REALME</t>
  </si>
  <si>
    <t>TCL 10 SE MECANICO</t>
  </si>
  <si>
    <t>PLACA DE CARGA TECNO SPARK G0 2023 CALIDAD ORIGINAL</t>
  </si>
  <si>
    <t xml:space="preserve">TCL 30E/30SE/305 </t>
  </si>
  <si>
    <t>PLACA DE CARGA TECNO SPARK G0 1 CALIDAD ORIGINAL</t>
  </si>
  <si>
    <t>PLACA DE CARGA TECNO SPARK G0 2024 CALIDAD ORIGINAL</t>
  </si>
  <si>
    <t>MOD-TCL30E.SE.305-MEC</t>
  </si>
  <si>
    <t>TCL 30E/30SE/305 MECANICO</t>
  </si>
  <si>
    <t>PLACA DE CARGA TECNO SPARK 20C CALIDAD ORIGINAL</t>
  </si>
  <si>
    <t>PLACA DE CARGA INFINIX HOT 60I  CALIDAD ORIGINAL</t>
  </si>
  <si>
    <t>MOD-TCL30E.SE ORG-CM</t>
  </si>
  <si>
    <t>TCL 30E/30SE ORIG SERVICE PACK CON MARCO</t>
  </si>
  <si>
    <t>PLACA DE CARGA INFINIX HOT 50I  CALIDAD ORIGINAL</t>
  </si>
  <si>
    <t>PLACA DE CARGA INFINIX SMART 8 CALIDAD ORIGINAL</t>
  </si>
  <si>
    <t>PLACA DE CARGA INFINIX SMART 9 CALIDAD ORIGINAL</t>
  </si>
  <si>
    <t>MOD-TCL30-PLS-ICLL</t>
  </si>
  <si>
    <t>TCL 30 PLUS INCELL</t>
  </si>
  <si>
    <t>PLACA DE CARGA INFINIX SMART 10 CALIDAD ORIGINAL</t>
  </si>
  <si>
    <t>PLACA DE CARGA INFINIX HOT 40 PRO CALIDAD ORIGINAL</t>
  </si>
  <si>
    <t xml:space="preserve">TCL 20B </t>
  </si>
  <si>
    <t>PLACA DE CARGA OPPO A60 CALIDAD ORIGINAL</t>
  </si>
  <si>
    <t>PLACA DE CARGA REALME NOTE 50 CALIDAD ORIGINAL</t>
  </si>
  <si>
    <t>TCL 20B PREMIUM</t>
  </si>
  <si>
    <t>PLACA DE CARGA REALME NOTE 60 CALIDAD ORIGINAL</t>
  </si>
  <si>
    <t>PLACA DE CARGA NUBIA MUSIC CALIDAD ORIGINAL</t>
  </si>
  <si>
    <t>MOD-SAM-40SE-MEC</t>
  </si>
  <si>
    <t>TCL 40 SE MECANICO CVT</t>
  </si>
  <si>
    <t>PLACA DE CARGA NUBIA NEO 2 5G CALIDAD ORIGINAL</t>
  </si>
  <si>
    <t>MOD-TCL40SE-ORG</t>
  </si>
  <si>
    <t>TCL 40 SE ORIGINAL 100% CON MARCO</t>
  </si>
  <si>
    <t>PLACA DE CARGA NUBIA NEO 3 GT CALIDAD ORIGINAL</t>
  </si>
  <si>
    <t>ALC1VP</t>
  </si>
  <si>
    <t>TCL L7</t>
  </si>
  <si>
    <t>PLACA DE CARGA NUBIA NEO 3  CALIDAD ORIGINAL</t>
  </si>
  <si>
    <t>MOD-TCLL9S-OLD</t>
  </si>
  <si>
    <t>PLACA DE CARGA NUBIA FOCUS 5G CALIDAD ORIGINAL</t>
  </si>
  <si>
    <t xml:space="preserve">TCL L9S </t>
  </si>
  <si>
    <t>MOD-TCL1PLT.LPS.TPR-OLD</t>
  </si>
  <si>
    <t xml:space="preserve">TCL L10 LITE / L10 PLUS / T PRO  </t>
  </si>
  <si>
    <t>ALCATEL</t>
  </si>
  <si>
    <t>MOD-ALT3H5H1S.2021</t>
  </si>
  <si>
    <t xml:space="preserve">3H/ 5H / 1S 2021 </t>
  </si>
  <si>
    <t>MOD-ALT3HPLS.5HPLS</t>
  </si>
  <si>
    <t xml:space="preserve">3H +/ 5H+ </t>
  </si>
  <si>
    <t xml:space="preserve">1V PLUS  </t>
  </si>
  <si>
    <t>MOD-ALT1SE-2020</t>
  </si>
  <si>
    <t xml:space="preserve">1SE 2020 </t>
  </si>
  <si>
    <t xml:space="preserve">XIAOMI NOTE 7/7 PRO </t>
  </si>
  <si>
    <t xml:space="preserve">XIAOMI NOTE 7 / 7 PRO MECANICO </t>
  </si>
  <si>
    <t>XIAOMI NOTE 8</t>
  </si>
  <si>
    <t>MOD-XIAOMI-NOTE-8T</t>
  </si>
  <si>
    <t xml:space="preserve">XIAOMI NOTE 8T </t>
  </si>
  <si>
    <t xml:space="preserve">XIAOMI NOTE 8 PRO </t>
  </si>
  <si>
    <t>MOD-XIM-NT8PRO-MEC</t>
  </si>
  <si>
    <t>XIAOMI NOTE 8 PRO MECANICO</t>
  </si>
  <si>
    <t xml:space="preserve">XIAOMI NOTE 9  </t>
  </si>
  <si>
    <t>MOD-XIMNT9-MEC</t>
  </si>
  <si>
    <t>XIAOMI NOTE 9 MECANICO</t>
  </si>
  <si>
    <t>MOD-XIMNT9-PRM</t>
  </si>
  <si>
    <t>XIAOMI NOTE 9 c/m premium (con vibrador,parlante y flex lateral)</t>
  </si>
  <si>
    <t xml:space="preserve">XIAOMI NOTE 9S/9 pro </t>
  </si>
  <si>
    <t>MOD-XIMNT9S-9PR-PRM</t>
  </si>
  <si>
    <t>XIAOMI NOTE 9S/9 pro c/m premium (con vibrador,parlante y flex lateral)</t>
  </si>
  <si>
    <t>N10-4G</t>
  </si>
  <si>
    <t>XIAOMI NOTE 10 4G/NOTE 10S oled</t>
  </si>
  <si>
    <t>MXIAREDNT104G</t>
  </si>
  <si>
    <t>XIAOMI NOTE 10 4G/NOTE 10S T20 c/m</t>
  </si>
  <si>
    <t xml:space="preserve">XIAOMI NOTE 10 5G / M3 PRO / NOTE 10T 5G / NOTE 11SE </t>
  </si>
  <si>
    <t>XIAOMI NOTE 10 5G / M3 PRO / NOTE 10T 5G / NOTE 11SE  MECANICO</t>
  </si>
  <si>
    <t>MOD-XIAOMI-NOTE10PRO-11PRO-POCOX4PRO</t>
  </si>
  <si>
    <t>XIAOMI NOTE 10 PRO /11 PRO/ POCO X4 PRO oled</t>
  </si>
  <si>
    <t>MOD-NOTE-11PRO-10PRO-INCELL</t>
  </si>
  <si>
    <t>XIAOMI NOTE 10 PRO/11 PRO/ POCO X4 PRO incell</t>
  </si>
  <si>
    <t>XIAOMI NOTE 10 PRO/11 PRO/ POCO X4 PRO MECANICO</t>
  </si>
  <si>
    <t>N11-10 -PRO-ILL</t>
  </si>
  <si>
    <t xml:space="preserve">XIAOMI NOTE 11 4G / 11s / 12s incell premium </t>
  </si>
  <si>
    <t>MOD-XIAOMI-NOTE11-12S-T20</t>
  </si>
  <si>
    <t>XIAOMI NOTE 11 4G / 11s / 12s T20 c/m</t>
  </si>
  <si>
    <t>XIAOMI NOTE 11 4G / 11s / 12s oled</t>
  </si>
  <si>
    <t>MOD-XIM.NOTE11-S-12S</t>
  </si>
  <si>
    <t>XIAOMI NOTE 11 4G / 11S / 12S oled MECANICO</t>
  </si>
  <si>
    <t>MOD-XIMNT114G-CM</t>
  </si>
  <si>
    <t>XIAOMI NOTE 11 4G oled c/m</t>
  </si>
  <si>
    <t>MOD-XIA-NOTE-11-5G</t>
  </si>
  <si>
    <t xml:space="preserve">XIAOMI NOTE 11 5G/11S 5G/POCO M4 PRO 5G </t>
  </si>
  <si>
    <t>11684-8</t>
  </si>
  <si>
    <t xml:space="preserve">XIAOMI NOTE 12 4G/5G OLED </t>
  </si>
  <si>
    <t>MOD-NOTE12-PRO</t>
  </si>
  <si>
    <t>XIAOMI NOTE 12 PRO  / PRO PLUS</t>
  </si>
  <si>
    <t>XIAOMI NOTE 13 4g oled MECANICO / CVT / PREMIUM</t>
  </si>
  <si>
    <t>XIAOMI NOTE 13 4g oled MECANICO CON MARCO</t>
  </si>
  <si>
    <t>MOD-XIA-NOTE-13</t>
  </si>
  <si>
    <t xml:space="preserve">XIAOMI NOTE 13 4g oled </t>
  </si>
  <si>
    <t>MOD.NT13-ORG</t>
  </si>
  <si>
    <t>XIAOMI NOTE 13 4g orig service pack c/m (incluye bateria )</t>
  </si>
  <si>
    <t>XIM-NT13-INCLL</t>
  </si>
  <si>
    <t>XIAOMI NOTE 13 4g Incell</t>
  </si>
  <si>
    <t>MOD-NOTE13PRO-4G-IN</t>
  </si>
  <si>
    <t>XIAOMI NOTE 13 PRO 4g/ POCO M6 PRO 4g incell</t>
  </si>
  <si>
    <t>MXIANOT13PR4G</t>
  </si>
  <si>
    <t>XIAOMI NOTE 13 pro 4g oled / POCO M6 PRO 4g OLED</t>
  </si>
  <si>
    <t>MOD-XINT13PRO-MEC</t>
  </si>
  <si>
    <t>XIAOMI NOTE 13 pro 4g oled / POCO M6 PRO 4g OLED mecanico</t>
  </si>
  <si>
    <t>MXIANOT13PR5G</t>
  </si>
  <si>
    <t>XIAOMI NOTE 13 pro 5g oled</t>
  </si>
  <si>
    <t>XIAOMI NOTE 13 pro 5g incell</t>
  </si>
  <si>
    <t>MOD-XMNT13PRP</t>
  </si>
  <si>
    <t>XIAOMI NOTE 13 PRO PLUS/14PRO/14 PRO PLUS/POCO X7</t>
  </si>
  <si>
    <t>XIAOMI NOTE 13 PRO PLUS/14PRO/14 PRO PLUS/POCO X7 MECANICO</t>
  </si>
  <si>
    <t>13215-2</t>
  </si>
  <si>
    <t xml:space="preserve">XIAOMI REDMI NOTE 14 OLED </t>
  </si>
  <si>
    <t>MOD-NT13.14-CMC</t>
  </si>
  <si>
    <t>XIAOMI REDMI NOTE 14 4G/5G PREMIUM, CVT, CROWN, MECANICO</t>
  </si>
  <si>
    <t>13217-6</t>
  </si>
  <si>
    <t>XIAOMI REDMI NOTE 14 PRO 5G</t>
  </si>
  <si>
    <t>XIAOMI REDMI NOTE 14 PRO 5G / X7 / 14 PRO PLUS MECANICO</t>
  </si>
  <si>
    <t>MOD-XIA-NOTE-14PRO-4G</t>
  </si>
  <si>
    <t>XIAOMI REDMI NOTE 14 PRO 4G</t>
  </si>
  <si>
    <t>13553-5</t>
  </si>
  <si>
    <t xml:space="preserve">XIAOMI REDMI NOTE 14S </t>
  </si>
  <si>
    <t>15014-9</t>
  </si>
  <si>
    <t>XIAOMI REDMI NOTE 15 PRO 4G OLED</t>
  </si>
  <si>
    <t>MOD-PC.M7-PR-OLD</t>
  </si>
  <si>
    <t>XIAOMI POCO M7 PRO 5G OLED</t>
  </si>
  <si>
    <t xml:space="preserve">XIAOMI REDMI 7A  </t>
  </si>
  <si>
    <t>XIAOMI REDMI 8/8A</t>
  </si>
  <si>
    <t>MA1-A2</t>
  </si>
  <si>
    <t xml:space="preserve">XIAOMI MI A2 </t>
  </si>
  <si>
    <t>XIAOMI MI A3 OLED</t>
  </si>
  <si>
    <t xml:space="preserve">XIAOMI MI 8 LITE </t>
  </si>
  <si>
    <t>MXIAREDM9TOLD</t>
  </si>
  <si>
    <t>XIAOMI MI 9T / 9T PRO oled</t>
  </si>
  <si>
    <t>MXIAMI9TIN</t>
  </si>
  <si>
    <t>XIAOMI MI 9T / 9T PRO incell</t>
  </si>
  <si>
    <t>MOD-XIM.MI11T-OLD</t>
  </si>
  <si>
    <t>XIAOMI MI 11T OLED</t>
  </si>
  <si>
    <t>MOD-XIMMI11T-INC</t>
  </si>
  <si>
    <t>XIAOMI MI 11T INCELL</t>
  </si>
  <si>
    <t>39953 REDMI 9</t>
  </si>
  <si>
    <t xml:space="preserve">XIAOMI REDMI 9 </t>
  </si>
  <si>
    <t>MOD-RMI-9A/C-MCRCVT</t>
  </si>
  <si>
    <t>XIAOMI REDMI 9A/9C/9AT/10A MECANICO</t>
  </si>
  <si>
    <t xml:space="preserve">XIAOMI REDMI 9A/9C/9AT/10A </t>
  </si>
  <si>
    <t>XIAOMI REDMI 9T / POCO M3</t>
  </si>
  <si>
    <t>XIAOMI REDMI 10 4G</t>
  </si>
  <si>
    <t>XIAOMI REDMI 10C  /12C</t>
  </si>
  <si>
    <t>MOD-REDMI-12C</t>
  </si>
  <si>
    <t>XIAOMI REDMI 10C / 12C MECANICO</t>
  </si>
  <si>
    <t xml:space="preserve">XIAOMI REDMI 12 </t>
  </si>
  <si>
    <t xml:space="preserve">XIAOMI REDMI 12C </t>
  </si>
  <si>
    <t>XIAOMI REDMI 12C MECANICO</t>
  </si>
  <si>
    <t>MOD-REDMI-13C</t>
  </si>
  <si>
    <t>MOD-13C-MARCO</t>
  </si>
  <si>
    <t>XIAOMI 13C CON MARCO</t>
  </si>
  <si>
    <t>MOD-XIM-13C-MCC</t>
  </si>
  <si>
    <t>XIAOMI REDMI 13C mecanico CVT</t>
  </si>
  <si>
    <t>MOD-XIM13C-PRM-CM</t>
  </si>
  <si>
    <t>XIAOMI REDMI 13C c/m premium (con vibrador,parlante y flex lateral)</t>
  </si>
  <si>
    <t>11539-1</t>
  </si>
  <si>
    <t>XIAOMI REDMI 13/13X/12 4G/5G/POCO M6 PRO 5g</t>
  </si>
  <si>
    <t>MOD-XI-RD-14C-MEC</t>
  </si>
  <si>
    <t>XIAOMI REDMI 14C MECANICO/GOSTTER POCO C75</t>
  </si>
  <si>
    <t>MOD-XIM-14C-PRM</t>
  </si>
  <si>
    <t>XIAOMI REDMI 14C c/m premium (con vibrador,parlante y flex lateral)</t>
  </si>
  <si>
    <t>MOD-XIM-RD15-OLD</t>
  </si>
  <si>
    <t xml:space="preserve">XIAOMI REDMI 15 </t>
  </si>
  <si>
    <t>MOD-REDMI-15C</t>
  </si>
  <si>
    <t>XIAOMI REDMI 15C</t>
  </si>
  <si>
    <t>MOD-XMRDM15C-MEC</t>
  </si>
  <si>
    <t>XIAOMI REDMI 15C / POCO C85 MECANICO</t>
  </si>
  <si>
    <t>MOD-POCOX3-X3PRO</t>
  </si>
  <si>
    <t>XIAOMI POCO X3 / X3 PRO</t>
  </si>
  <si>
    <t>POCO-X6-X6PRO-MOD</t>
  </si>
  <si>
    <t>XIAOMI POCO X6 / X6 PRO oled</t>
  </si>
  <si>
    <t xml:space="preserve">XIAOMI POCO X6 PRO ORIG SERVICE PACK CON MARCO </t>
  </si>
  <si>
    <t>13227-5</t>
  </si>
  <si>
    <t>XIAOMI POCO X7 PRO oled</t>
  </si>
  <si>
    <t>MOD-REDMI-A1-A2-POCOC50</t>
  </si>
  <si>
    <t>XIAOMI REDMI A1 / A2</t>
  </si>
  <si>
    <t>MOD-XI-RD-A3X-MEC</t>
  </si>
  <si>
    <t>XIAOMI REDMI A3 / A3X</t>
  </si>
  <si>
    <t>MOD-RMIA3/A3X-MEC</t>
  </si>
  <si>
    <t>XIAOMI REDMI A3 / A3X MECANICO / CVT</t>
  </si>
  <si>
    <t>MOD-XMA37A3X-GTR-CM</t>
  </si>
  <si>
    <t>XIAOMI REDMI A3 / A3X CON MARCO GOSTER</t>
  </si>
  <si>
    <t>MOD-XIAOMI-REDMI-A5</t>
  </si>
  <si>
    <t xml:space="preserve">XIAOMI REDMI A5 / POCO C71 </t>
  </si>
  <si>
    <t>MOD-XIRDMA5-MEC</t>
  </si>
  <si>
    <t>XIAOMI REDMI A5 / POCO C71 MECANICO</t>
  </si>
  <si>
    <t>MOD-RELC6163NT60</t>
  </si>
  <si>
    <t>REALME C61 / C63 / NOTE 60</t>
  </si>
  <si>
    <t>12318-1</t>
  </si>
  <si>
    <t>REALME C51 / C53 / NOTE 50</t>
  </si>
  <si>
    <t>MOD-RLMENO50-MEC</t>
  </si>
  <si>
    <t>REALME C51 / C53 / NOTE 50 MECANICO</t>
  </si>
  <si>
    <t>MOD-ZTEA31-PLS</t>
  </si>
  <si>
    <t xml:space="preserve">ZTE BLADE A31 + </t>
  </si>
  <si>
    <t>ZTE A33 / A33 PLUS</t>
  </si>
  <si>
    <t>MOD-ZTE-A33+</t>
  </si>
  <si>
    <t>ZTE BLADE A33 PLUS / A33 C/M ORIGINAL</t>
  </si>
  <si>
    <t>MZTEA51</t>
  </si>
  <si>
    <t>ZTE BLADE A51 / A71</t>
  </si>
  <si>
    <t>MOD-ZTEV30-V40</t>
  </si>
  <si>
    <t>ZTE BLADE V30 / V40</t>
  </si>
  <si>
    <t>MODULO ZTE BLADE V30 VITA</t>
  </si>
  <si>
    <t>MOD-ZTE-A54-A34</t>
  </si>
  <si>
    <t>ZTE BLADE A34/A54</t>
  </si>
  <si>
    <t>MOD-ZTE.A34-54-MEC</t>
  </si>
  <si>
    <t xml:space="preserve">ZTE BLADE A34/A54 MECANICO / GOSTTER /CVT </t>
  </si>
  <si>
    <t>13831-4</t>
  </si>
  <si>
    <t>ZTE BLADE A35 / A55</t>
  </si>
  <si>
    <t>MOD-ZTE-A35/55-MEC</t>
  </si>
  <si>
    <t>ZTE BLADE A35 / A55 MECANICO / CVT</t>
  </si>
  <si>
    <t>MOD-ZTEA35-E</t>
  </si>
  <si>
    <t>ZTE BLADE A35E</t>
  </si>
  <si>
    <t>MOD-ZTE-A36-56</t>
  </si>
  <si>
    <t>ZTE BLADE A36 / A56 / A56 PRO</t>
  </si>
  <si>
    <t xml:space="preserve">ZTE BLADE A53 / A53+ </t>
  </si>
  <si>
    <t>MOD-ZTE-A52 / A72</t>
  </si>
  <si>
    <t>ZTE BLADE  A52 / A72</t>
  </si>
  <si>
    <t>MOD-ZTE-A72S</t>
  </si>
  <si>
    <t>ZTE BLADE A72S / V40 VITTA / V40 SMART</t>
  </si>
  <si>
    <t>ZTE-A73-4G</t>
  </si>
  <si>
    <t xml:space="preserve">ZTE BLADE A73 4G </t>
  </si>
  <si>
    <t>MOD-NUBIA-MUSIC-FOCUS-A75</t>
  </si>
  <si>
    <t xml:space="preserve">ZTE A75 / NUBIA MUSIC / FOCUS 5G </t>
  </si>
  <si>
    <t>MOD-ZTE-V40-DSG</t>
  </si>
  <si>
    <t>ZTE V40 DESIGN</t>
  </si>
  <si>
    <t>MOD-ZTE-V50-SM</t>
  </si>
  <si>
    <t>ZTE V50 DESIGN</t>
  </si>
  <si>
    <t>MOD-ZTE-V50-VITA SM</t>
  </si>
  <si>
    <t>ZTE V50 VITTA</t>
  </si>
  <si>
    <t>MZTE V50 DES CM</t>
  </si>
  <si>
    <t>ZTE V50 DESIGN ORI SERVICE PACK CON MARCO</t>
  </si>
  <si>
    <t>ZTE-V60-SM-DS</t>
  </si>
  <si>
    <t xml:space="preserve">ZTE V60 DESIGN / V60 SMART </t>
  </si>
  <si>
    <t>MOD-ZTE-V60</t>
  </si>
  <si>
    <t>ZTE AXON V60 MECANICO / CVT</t>
  </si>
  <si>
    <t>MOD-ZTEV70-MX</t>
  </si>
  <si>
    <t>ZTE V70 MAX</t>
  </si>
  <si>
    <t>MOD-ZTE-A5-A7-2020</t>
  </si>
  <si>
    <t xml:space="preserve">ZTE A5 2020 / A7 2020 </t>
  </si>
  <si>
    <t xml:space="preserve">INFINIX - TECNOSPARCK - </t>
  </si>
  <si>
    <t>MOD-SM-8-8PRO</t>
  </si>
  <si>
    <t>INFINIX SMART 8 / SMART 8+ / HOT40i /20C / Tecno Go 2024</t>
  </si>
  <si>
    <t>MOD-TECNO 30PRO-HOT 50PRO</t>
  </si>
  <si>
    <t>INFINIX HOT 50 PRO / TECNOSPARK 30 PRO OLED MECANICO</t>
  </si>
  <si>
    <t>MOD-HOT-50</t>
  </si>
  <si>
    <t>INFINIX HOT 50 / TECNOSPARK 30</t>
  </si>
  <si>
    <t>INFINIX-SMART9-HOT50I</t>
  </si>
  <si>
    <t>INFINIX SMART 9 - GO 1  / HOT 50i / TECNO 30C</t>
  </si>
  <si>
    <t>MTECPOV4.</t>
  </si>
  <si>
    <t>TECNOSPARK POVA 4 / INFINIX HOT 20</t>
  </si>
  <si>
    <t>13716-4</t>
  </si>
  <si>
    <t>TECNOSPARK 10-10C / G0 2023 / INFINIX SMART 7 / HOT 30i</t>
  </si>
  <si>
    <t>MOD-TC10PR-MEC</t>
  </si>
  <si>
    <t>TECNOSPARK 10 PRO MECANICO</t>
  </si>
  <si>
    <t xml:space="preserve">l </t>
  </si>
  <si>
    <t>TECNOSPARK 20 PRO / HOT 40 PRO</t>
  </si>
  <si>
    <t>MOD-TCSPKPV6-INFXH40PR</t>
  </si>
  <si>
    <t>TECNOSPARK POVA 6 / INFINIX NOTE 40 5G incell</t>
  </si>
  <si>
    <t>MOD-GT-20PRO</t>
  </si>
  <si>
    <t>INFINIX GT 20 PRO INCELL</t>
  </si>
  <si>
    <t>MOD.INF-20PR40NT-CVT</t>
  </si>
  <si>
    <t>INFINIX GT 20 PRO / NOTE 40 CVT OLED</t>
  </si>
  <si>
    <t>MOD-INFNT40PR</t>
  </si>
  <si>
    <t xml:space="preserve">INFINIX NOTE 40 PRO INCELL </t>
  </si>
  <si>
    <t>MOD-NFXNT50PR</t>
  </si>
  <si>
    <t>INFINIX NOTE 50 PRO INCELL</t>
  </si>
  <si>
    <t>MOD-INFHT304040PR</t>
  </si>
  <si>
    <t xml:space="preserve">INFINIX HOT 30/ 40 / 40PRO / TECNOSPARK 20 PRO </t>
  </si>
  <si>
    <t>MOD-HOT60I</t>
  </si>
  <si>
    <t xml:space="preserve">INFINIX HOT 60I ORIGINAL </t>
  </si>
  <si>
    <t>NUBIA - OPPO</t>
  </si>
  <si>
    <t>MOD-NUBIA-FOCUS</t>
  </si>
  <si>
    <t xml:space="preserve">NUBIA FOCUS 4G / 5G  </t>
  </si>
  <si>
    <t>MOD-NUBIA- FOCUS 2 / MUSIC 2</t>
  </si>
  <si>
    <t>NUBIA FOCUS 2 / MUSIC 2</t>
  </si>
  <si>
    <t>NUBIA MUSIC</t>
  </si>
  <si>
    <t>MOD-NBFSMSC</t>
  </si>
  <si>
    <t>NUBIA FOCUS / MUSIC MECANICO</t>
  </si>
  <si>
    <t>MOD-NUBIA-NEO2</t>
  </si>
  <si>
    <t>NUBIA NEO 2 / FOCUS PRO 5G</t>
  </si>
  <si>
    <t>MOD-NBN2-MEC</t>
  </si>
  <si>
    <t>NUBIA NEO 2 / FOCUS PRO 5G MECANICO</t>
  </si>
  <si>
    <t>MOD-NUBIA-NEO3</t>
  </si>
  <si>
    <t xml:space="preserve">NUBIA NEO 3 </t>
  </si>
  <si>
    <t>MOD-HR-X6A</t>
  </si>
  <si>
    <t>HONOR X6A</t>
  </si>
  <si>
    <t>MOD-HNX5B</t>
  </si>
  <si>
    <t>HONOR X5B</t>
  </si>
  <si>
    <t>MOD-HR-X7BC</t>
  </si>
  <si>
    <t>HONOR X7C / X7B</t>
  </si>
  <si>
    <t>MOD-HR-X7D</t>
  </si>
  <si>
    <t xml:space="preserve">HONOR X7D </t>
  </si>
  <si>
    <t>MOD-HR-X8B</t>
  </si>
  <si>
    <t>HONOR X8B</t>
  </si>
  <si>
    <t>MOD-HRX8C</t>
  </si>
  <si>
    <t>HONOR X8C</t>
  </si>
  <si>
    <t>MOD-RN12FOL</t>
  </si>
  <si>
    <t>OPPO RENO 12F 5G OLED</t>
  </si>
  <si>
    <t>MOD-OP135G</t>
  </si>
  <si>
    <t xml:space="preserve">OPPO RENO 13 5G OLED </t>
  </si>
  <si>
    <t>MOD-OPA40A60</t>
  </si>
  <si>
    <t>OPPO A60 / A40</t>
  </si>
  <si>
    <t>MOD-OPPA40-MEC</t>
  </si>
  <si>
    <t>OPPO A60 / A40 MECANICO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</si>
</sst>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\$#,##0"/>
    <numFmt numFmtId="166" formatCode="&quot;$ &quot;#,##0"/>
    <numFmt numFmtId="167" formatCode="&quot;$ &quot;#,##0.0"/>
    <numFmt numFmtId="168" formatCode="[$$-2C0A]#,##0;[RED]\([$$-2C0A]#,##0\)"/>
    <numFmt numFmtId="169" formatCode="#,##0.00\ [$€-1]"/>
    <numFmt numFmtId="170" formatCode="yyyy-m"/>
  </numFmts>
  <fonts count="73">
    <font>
      <sz val="11.0"/>
      <color rgb="FF000000"/>
      <name val="Aptos Narrow"/>
      <scheme val="minor"/>
    </font>
    <font>
      <b/>
      <sz val="36.0"/>
      <color rgb="FFFFFFFF"/>
      <name val="Calibri"/>
    </font>
    <font/>
    <font>
      <b/>
      <sz val="16.0"/>
      <color rgb="FF000000"/>
      <name val="Calibri"/>
    </font>
    <font>
      <b/>
      <sz val="14.0"/>
      <color rgb="FF000000"/>
      <name val="Calibri"/>
    </font>
    <font>
      <b/>
      <sz val="24.0"/>
      <color rgb="FF000000"/>
      <name val="Calibri"/>
    </font>
    <font>
      <b/>
      <i/>
      <sz val="11.0"/>
      <color rgb="FFFFFFFF"/>
      <name val="Calibri"/>
    </font>
    <font>
      <b/>
      <i/>
      <sz val="18.0"/>
      <color rgb="FF000000"/>
      <name val="Calibri"/>
    </font>
    <font>
      <b/>
      <sz val="14.0"/>
      <color rgb="FF000000"/>
      <name val="Aptos Narrow"/>
    </font>
    <font>
      <sz val="13.0"/>
      <color rgb="FF000000"/>
      <name val="Calibri"/>
    </font>
    <font>
      <b/>
      <sz val="11.0"/>
      <color rgb="FF000000"/>
      <name val="Calibri"/>
    </font>
    <font>
      <color theme="1"/>
      <name val="Arial"/>
    </font>
    <font>
      <sz val="11.0"/>
      <color rgb="FF000000"/>
      <name val="Calibri"/>
    </font>
    <font>
      <b/>
      <sz val="14.0"/>
      <color rgb="FFFF0000"/>
      <name val="Calibri"/>
    </font>
    <font>
      <color theme="1"/>
      <name val="Aptos Narrow"/>
      <scheme val="minor"/>
    </font>
    <font>
      <b/>
      <i/>
      <sz val="11.0"/>
      <color rgb="FFFFFFFF"/>
      <name val="Aptos Narrow"/>
    </font>
    <font>
      <b/>
      <sz val="23.0"/>
      <color rgb="FF000000"/>
      <name val="Calibri"/>
    </font>
    <font>
      <b/>
      <sz val="17.0"/>
      <color rgb="FF000000"/>
      <name val="Calibri"/>
    </font>
    <font>
      <b/>
      <sz val="13.0"/>
      <color rgb="FF000000"/>
      <name val="Calibri"/>
    </font>
    <font>
      <sz val="11.0"/>
      <color rgb="FF000000"/>
      <name val="Aptos Narrow"/>
    </font>
    <font>
      <sz val="14.0"/>
      <color rgb="FF000000"/>
      <name val="Calibri"/>
    </font>
    <font>
      <b/>
      <sz val="15.0"/>
      <color rgb="FF000000"/>
      <name val="Calibri"/>
    </font>
    <font>
      <b/>
      <sz val="18.0"/>
      <color rgb="FF000000"/>
      <name val="Calibri"/>
    </font>
    <font>
      <b/>
      <sz val="12.0"/>
      <color theme="1"/>
      <name val="Aptos Narrow"/>
      <scheme val="minor"/>
    </font>
    <font>
      <b/>
      <sz val="12.0"/>
      <color theme="1"/>
      <name val="Arial"/>
    </font>
    <font>
      <b/>
      <sz val="14.0"/>
      <color rgb="FF000000"/>
      <name val="Arial"/>
    </font>
    <font>
      <b/>
      <sz val="10.0"/>
      <color rgb="FF000000"/>
      <name val="Aptos Narrow"/>
    </font>
    <font>
      <b/>
      <sz val="26.0"/>
      <color rgb="FF000000"/>
      <name val="Calibri"/>
    </font>
    <font>
      <b/>
      <sz val="14.0"/>
      <color rgb="FF00FF00"/>
      <name val="Calibri"/>
    </font>
    <font>
      <b/>
      <sz val="21.0"/>
      <color rgb="FF000000"/>
      <name val="Calibri"/>
    </font>
    <font>
      <b/>
      <sz val="29.0"/>
      <color rgb="FF000000"/>
      <name val="Calibri"/>
    </font>
    <font>
      <b/>
      <sz val="25.0"/>
      <color rgb="FF000000"/>
      <name val="Calibri"/>
    </font>
    <font>
      <b/>
      <sz val="27.0"/>
      <color rgb="FF000000"/>
      <name val="Calibri"/>
    </font>
    <font>
      <b/>
      <i/>
      <sz val="22.0"/>
      <color rgb="FF000000"/>
      <name val="Calibri"/>
    </font>
    <font>
      <b/>
      <sz val="27.0"/>
      <color rgb="FF434343"/>
      <name val="Arial"/>
    </font>
    <font>
      <b/>
      <sz val="14.0"/>
      <color rgb="FF000000"/>
      <name val="&quot;Trebuchet MS&quot;"/>
    </font>
    <font>
      <b/>
      <sz val="22.0"/>
      <color rgb="FF434343"/>
      <name val="Arial"/>
    </font>
    <font>
      <b/>
      <sz val="10.0"/>
      <color rgb="FF000000"/>
      <name val="&quot;Trebuchet MS&quot;"/>
    </font>
    <font>
      <b/>
      <sz val="11.0"/>
      <color theme="1"/>
      <name val="Calibri"/>
    </font>
    <font>
      <sz val="13.0"/>
      <color theme="1"/>
      <name val="Calibri"/>
    </font>
    <font>
      <sz val="12.0"/>
      <color rgb="FF000000"/>
      <name val="Calibri"/>
    </font>
    <font>
      <b/>
      <sz val="13.0"/>
      <color theme="1"/>
      <name val="Calibri"/>
    </font>
    <font>
      <b/>
      <sz val="12.0"/>
      <color rgb="FF000000"/>
      <name val="&quot;Trebuchet MS&quot;"/>
    </font>
    <font>
      <b/>
      <sz val="12.0"/>
      <color theme="1"/>
      <name val="Calibri"/>
    </font>
    <font>
      <b/>
      <sz val="11.0"/>
      <color theme="1"/>
      <name val="Arial"/>
    </font>
    <font>
      <b/>
      <sz val="28.0"/>
      <color rgb="FF000000"/>
      <name val="Calibri"/>
    </font>
    <font>
      <b/>
      <sz val="11.0"/>
      <color rgb="FF000000"/>
      <name val="Aptos Narrow"/>
    </font>
    <font>
      <b/>
      <color theme="1"/>
      <name val="Aptos Narrow"/>
      <scheme val="minor"/>
    </font>
    <font>
      <b/>
      <sz val="12.0"/>
      <color rgb="FF000000"/>
      <name val="Calibri"/>
    </font>
    <font>
      <b/>
      <sz val="10.0"/>
      <color theme="1"/>
      <name val="Aptos Narrow"/>
      <scheme val="minor"/>
    </font>
    <font>
      <b/>
      <sz val="11.0"/>
      <color rgb="FF1F1F1F"/>
      <name val="Calibri"/>
    </font>
    <font>
      <sz val="13.0"/>
      <color rgb="FF1F1F1F"/>
      <name val="Calibri"/>
    </font>
    <font>
      <b/>
      <sz val="36.0"/>
      <color rgb="FF000000"/>
      <name val="Calibri"/>
    </font>
    <font>
      <sz val="14.0"/>
      <color rgb="FF000000"/>
      <name val="Aptos Narrow"/>
    </font>
    <font>
      <sz val="9.0"/>
      <color theme="1"/>
      <name val="Arial"/>
    </font>
    <font>
      <sz val="10.0"/>
      <color theme="1"/>
      <name val="Arial"/>
    </font>
    <font>
      <b/>
      <color theme="1"/>
      <name val="Arial"/>
    </font>
    <font>
      <b/>
      <i/>
      <sz val="18.0"/>
      <color theme="1"/>
      <name val="Calibri"/>
    </font>
    <font>
      <b/>
      <i/>
      <color rgb="FF0000FF"/>
      <name val="Arial"/>
    </font>
    <font>
      <b/>
      <sz val="13.0"/>
      <color rgb="FF0000FF"/>
      <name val="Calibri"/>
    </font>
    <font>
      <b/>
      <sz val="13.0"/>
      <color theme="1"/>
      <name val="Arial"/>
    </font>
    <font>
      <sz val="13.0"/>
      <color theme="1"/>
      <name val="Aptos Narrow"/>
      <scheme val="minor"/>
    </font>
    <font>
      <b/>
      <sz val="10.0"/>
      <color rgb="FFFF0000"/>
      <name val="Arial"/>
    </font>
    <font>
      <b/>
      <sz val="13.0"/>
      <color rgb="FFFF0000"/>
      <name val="Calibri"/>
    </font>
    <font>
      <b/>
      <sz val="10.0"/>
      <color rgb="FF0000FF"/>
      <name val="Arial"/>
    </font>
    <font>
      <b/>
      <sz val="10.0"/>
      <color theme="1"/>
      <name val="Arial"/>
    </font>
    <font>
      <b/>
      <sz val="10.0"/>
      <color rgb="FF85200C"/>
      <name val="Arial"/>
    </font>
    <font>
      <b/>
      <sz val="13.0"/>
      <color rgb="FF85200C"/>
      <name val="Calibri"/>
    </font>
    <font>
      <b/>
      <sz val="10.0"/>
      <color rgb="FF38761D"/>
      <name val="Arial"/>
    </font>
    <font>
      <b/>
      <sz val="13.0"/>
      <color rgb="FF38761D"/>
      <name val="Calibri"/>
    </font>
    <font>
      <b/>
      <sz val="41.0"/>
      <color rgb="FF000000"/>
      <name val="Calibri"/>
    </font>
    <font>
      <b/>
      <sz val="15.0"/>
      <color theme="1"/>
      <name val="Arial"/>
    </font>
    <font>
      <b/>
      <sz val="17.0"/>
      <color theme="1"/>
      <name val="Arial"/>
    </font>
  </fonts>
  <fills count="44">
    <fill>
      <patternFill patternType="none"/>
    </fill>
    <fill>
      <patternFill patternType="lightGray"/>
    </fill>
    <fill>
      <patternFill patternType="solid">
        <fgColor rgb="FFA02B93"/>
        <bgColor rgb="FFA02B93"/>
      </patternFill>
    </fill>
    <fill>
      <patternFill patternType="solid">
        <fgColor rgb="FFC2F1C8"/>
        <bgColor rgb="FFC2F1C8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61CBF4"/>
        <bgColor rgb="FF61CBF4"/>
      </patternFill>
    </fill>
    <fill>
      <patternFill patternType="solid">
        <fgColor rgb="FFC9DAF8"/>
        <bgColor rgb="FFC9DAF8"/>
      </patternFill>
    </fill>
    <fill>
      <patternFill patternType="solid">
        <fgColor rgb="FF4DD0E1"/>
        <bgColor rgb="FF4DD0E1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E0F7FA"/>
        <bgColor rgb="FFE0F7FA"/>
      </patternFill>
    </fill>
    <fill>
      <patternFill patternType="solid">
        <fgColor rgb="FFCCCCCC"/>
        <bgColor rgb="FFCCCCCC"/>
      </patternFill>
    </fill>
    <fill>
      <patternFill patternType="solid">
        <fgColor rgb="FFE8F0FE"/>
        <bgColor rgb="FFE8F0FE"/>
      </patternFill>
    </fill>
    <fill>
      <patternFill patternType="solid">
        <fgColor rgb="FFEFEFEF"/>
        <bgColor rgb="FFEFEFEF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FFF38"/>
        <bgColor rgb="FFFFFF38"/>
      </patternFill>
    </fill>
    <fill>
      <patternFill patternType="solid">
        <fgColor rgb="FFF7CB4D"/>
        <bgColor rgb="FFF7CB4D"/>
      </patternFill>
    </fill>
    <fill>
      <patternFill patternType="solid">
        <fgColor rgb="FF00FF00"/>
        <bgColor rgb="FF00FF00"/>
      </patternFill>
    </fill>
    <fill>
      <patternFill patternType="solid">
        <fgColor rgb="FFFFFF6D"/>
        <bgColor rgb="FFFFFF6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96DCF8"/>
        <bgColor rgb="FF96DCF8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B4C7DC"/>
        <bgColor rgb="FFB4C7DC"/>
      </patternFill>
    </fill>
    <fill>
      <patternFill patternType="solid">
        <fgColor rgb="FFF1C232"/>
        <bgColor rgb="FFF1C232"/>
      </patternFill>
    </fill>
    <fill>
      <patternFill patternType="solid">
        <fgColor rgb="FFF6C6AD"/>
        <bgColor rgb="FFF6C6AD"/>
      </patternFill>
    </fill>
    <fill>
      <patternFill patternType="solid">
        <fgColor rgb="FF9FC5E8"/>
        <bgColor rgb="FF9FC5E8"/>
      </patternFill>
    </fill>
    <fill>
      <patternFill patternType="solid">
        <fgColor rgb="FF47D45A"/>
        <bgColor rgb="FF47D45A"/>
      </patternFill>
    </fill>
    <fill>
      <patternFill patternType="solid">
        <fgColor rgb="FFC27BA0"/>
        <bgColor rgb="FFC27BA0"/>
      </patternFill>
    </fill>
    <fill>
      <patternFill patternType="solid">
        <fgColor rgb="FFA4C2F4"/>
        <bgColor rgb="FFA4C2F4"/>
      </patternFill>
    </fill>
  </fills>
  <borders count="31">
    <border/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  <bottom/>
    </border>
    <border>
      <top style="thin">
        <color rgb="FF000000"/>
      </top>
      <bottom style="thin">
        <color rgb="FF000000"/>
      </bottom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5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4" fillId="3" fontId="3" numFmtId="164" xfId="0" applyAlignment="1" applyBorder="1" applyFont="1" applyNumberFormat="1">
      <alignment horizontal="center" shrinkToFit="0" vertical="center" wrapText="0"/>
    </xf>
    <xf borderId="4" fillId="3" fontId="4" numFmtId="164" xfId="0" applyAlignment="1" applyBorder="1" applyFont="1" applyNumberFormat="1">
      <alignment horizontal="center" shrinkToFit="0" vertical="center" wrapText="0"/>
    </xf>
    <xf borderId="5" fillId="2" fontId="1" numFmtId="0" xfId="0" applyAlignment="1" applyBorder="1" applyFont="1">
      <alignment horizontal="center" shrinkToFit="0" vertical="center" wrapText="0"/>
    </xf>
    <xf borderId="6" fillId="4" fontId="5" numFmtId="0" xfId="0" applyAlignment="1" applyBorder="1" applyFill="1" applyFont="1">
      <alignment horizontal="center" shrinkToFit="0" vertical="center" wrapText="0"/>
    </xf>
    <xf borderId="7" fillId="0" fontId="2" numFmtId="0" xfId="0" applyBorder="1" applyFont="1"/>
    <xf borderId="8" fillId="4" fontId="2" numFmtId="0" xfId="0" applyBorder="1" applyFont="1"/>
    <xf borderId="9" fillId="0" fontId="2" numFmtId="0" xfId="0" applyBorder="1" applyFont="1"/>
    <xf borderId="10" fillId="4" fontId="2" numFmtId="0" xfId="0" applyBorder="1" applyFont="1"/>
    <xf borderId="0" fillId="5" fontId="5" numFmtId="0" xfId="0" applyAlignment="1" applyFill="1" applyFont="1">
      <alignment horizontal="center" shrinkToFit="0" vertical="center" wrapText="0"/>
    </xf>
    <xf borderId="6" fillId="6" fontId="5" numFmtId="0" xfId="0" applyAlignment="1" applyBorder="1" applyFill="1" applyFont="1">
      <alignment horizontal="center" shrinkToFit="0" vertical="center" wrapText="0"/>
    </xf>
    <xf borderId="4" fillId="5" fontId="4" numFmtId="0" xfId="0" applyAlignment="1" applyBorder="1" applyFont="1">
      <alignment shrinkToFit="0" vertical="bottom" wrapText="0"/>
    </xf>
    <xf borderId="8" fillId="0" fontId="2" numFmtId="0" xfId="0" applyBorder="1" applyFont="1"/>
    <xf borderId="10" fillId="0" fontId="2" numFmtId="0" xfId="0" applyBorder="1" applyFont="1"/>
    <xf borderId="4" fillId="5" fontId="4" numFmtId="165" xfId="0" applyAlignment="1" applyBorder="1" applyFont="1" applyNumberFormat="1">
      <alignment horizontal="right" readingOrder="0" shrinkToFit="0" vertical="bottom" wrapText="0"/>
    </xf>
    <xf borderId="11" fillId="7" fontId="6" numFmtId="0" xfId="0" applyAlignment="1" applyBorder="1" applyFill="1" applyFont="1">
      <alignment horizontal="center" shrinkToFit="0" vertical="center" wrapText="1"/>
    </xf>
    <xf borderId="12" fillId="8" fontId="7" numFmtId="0" xfId="0" applyAlignment="1" applyBorder="1" applyFill="1" applyFont="1">
      <alignment horizontal="center" shrinkToFit="0" vertical="center" wrapText="0"/>
    </xf>
    <xf borderId="12" fillId="3" fontId="4" numFmtId="0" xfId="0" applyAlignment="1" applyBorder="1" applyFont="1">
      <alignment horizontal="center" shrinkToFit="0" vertical="center" wrapText="0"/>
    </xf>
    <xf borderId="4" fillId="5" fontId="8" numFmtId="165" xfId="0" applyAlignment="1" applyBorder="1" applyFont="1" applyNumberFormat="1">
      <alignment shrinkToFit="0" vertical="bottom" wrapText="0"/>
    </xf>
    <xf borderId="4" fillId="3" fontId="4" numFmtId="164" xfId="0" applyAlignment="1" applyBorder="1" applyFont="1" applyNumberFormat="1">
      <alignment horizontal="center" shrinkToFit="0" vertical="center" wrapText="0"/>
    </xf>
    <xf borderId="0" fillId="5" fontId="8" numFmtId="0" xfId="0" applyAlignment="1" applyFont="1">
      <alignment shrinkToFit="0" vertical="bottom" wrapText="0"/>
    </xf>
    <xf borderId="13" fillId="0" fontId="2" numFmtId="0" xfId="0" applyBorder="1" applyFont="1"/>
    <xf borderId="4" fillId="9" fontId="4" numFmtId="0" xfId="0" applyAlignment="1" applyBorder="1" applyFill="1" applyFont="1">
      <alignment shrinkToFit="0" vertical="bottom" wrapText="0"/>
    </xf>
    <xf borderId="4" fillId="8" fontId="9" numFmtId="0" xfId="0" applyAlignment="1" applyBorder="1" applyFont="1">
      <alignment shrinkToFit="0" vertical="bottom" wrapText="0"/>
    </xf>
    <xf borderId="4" fillId="9" fontId="4" numFmtId="165" xfId="0" applyAlignment="1" applyBorder="1" applyFont="1" applyNumberFormat="1">
      <alignment horizontal="right" shrinkToFit="0" vertical="bottom" wrapText="0"/>
    </xf>
    <xf borderId="12" fillId="8" fontId="9" numFmtId="165" xfId="0" applyAlignment="1" applyBorder="1" applyFont="1" applyNumberFormat="1">
      <alignment horizontal="right" shrinkToFit="0" vertical="bottom" wrapText="0"/>
    </xf>
    <xf borderId="4" fillId="9" fontId="8" numFmtId="165" xfId="0" applyAlignment="1" applyBorder="1" applyFont="1" applyNumberFormat="1">
      <alignment shrinkToFit="0" vertical="bottom" wrapText="0"/>
    </xf>
    <xf borderId="4" fillId="8" fontId="10" numFmtId="165" xfId="0" applyAlignment="1" applyBorder="1" applyFont="1" applyNumberFormat="1">
      <alignment shrinkToFit="0" vertical="bottom" wrapText="0"/>
    </xf>
    <xf borderId="0" fillId="6" fontId="1" numFmtId="0" xfId="0" applyAlignment="1" applyFont="1">
      <alignment horizontal="center" readingOrder="0" shrinkToFit="0" vertical="center" wrapText="0"/>
    </xf>
    <xf borderId="6" fillId="6" fontId="1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readingOrder="0"/>
    </xf>
    <xf borderId="4" fillId="5" fontId="4" numFmtId="0" xfId="0" applyAlignment="1" applyBorder="1" applyFont="1">
      <alignment readingOrder="0" shrinkToFit="0" vertical="bottom" wrapText="0"/>
    </xf>
    <xf borderId="4" fillId="10" fontId="4" numFmtId="0" xfId="0" applyAlignment="1" applyBorder="1" applyFill="1" applyFont="1">
      <alignment readingOrder="0" shrinkToFit="0" vertical="bottom" wrapText="0"/>
    </xf>
    <xf borderId="4" fillId="0" fontId="12" numFmtId="0" xfId="0" applyAlignment="1" applyBorder="1" applyFont="1">
      <alignment shrinkToFit="0" vertical="bottom" wrapText="0"/>
    </xf>
    <xf borderId="0" fillId="3" fontId="3" numFmtId="0" xfId="0" applyAlignment="1" applyFont="1">
      <alignment horizontal="center" shrinkToFit="0" vertical="center" wrapText="0"/>
    </xf>
    <xf borderId="4" fillId="10" fontId="4" numFmtId="165" xfId="0" applyAlignment="1" applyBorder="1" applyFont="1" applyNumberFormat="1">
      <alignment horizontal="right" readingOrder="0" shrinkToFit="0" vertical="bottom" wrapText="0"/>
    </xf>
    <xf borderId="4" fillId="10" fontId="8" numFmtId="165" xfId="0" applyAlignment="1" applyBorder="1" applyFont="1" applyNumberFormat="1">
      <alignment shrinkToFit="0" vertical="bottom" wrapText="0"/>
    </xf>
    <xf borderId="4" fillId="11" fontId="13" numFmtId="0" xfId="0" applyAlignment="1" applyBorder="1" applyFill="1" applyFont="1">
      <alignment readingOrder="0" vertical="bottom"/>
    </xf>
    <xf borderId="12" fillId="11" fontId="13" numFmtId="165" xfId="0" applyAlignment="1" applyBorder="1" applyFont="1" applyNumberFormat="1">
      <alignment horizontal="right" vertical="bottom"/>
    </xf>
    <xf borderId="4" fillId="11" fontId="13" numFmtId="165" xfId="0" applyAlignment="1" applyBorder="1" applyFont="1" applyNumberFormat="1">
      <alignment horizontal="right" vertical="bottom"/>
    </xf>
    <xf borderId="0" fillId="5" fontId="14" numFmtId="0" xfId="0" applyFont="1"/>
    <xf borderId="11" fillId="12" fontId="15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ont="1">
      <alignment readingOrder="0" shrinkToFit="0" vertical="bottom" wrapText="0"/>
    </xf>
    <xf borderId="6" fillId="9" fontId="16" numFmtId="0" xfId="0" applyAlignment="1" applyBorder="1" applyFont="1">
      <alignment horizontal="center" shrinkToFit="0" vertical="center" wrapText="0"/>
    </xf>
    <xf borderId="8" fillId="9" fontId="2" numFmtId="0" xfId="0" applyBorder="1" applyFont="1"/>
    <xf borderId="10" fillId="9" fontId="2" numFmtId="0" xfId="0" applyBorder="1" applyFont="1"/>
    <xf borderId="4" fillId="13" fontId="9" numFmtId="0" xfId="0" applyAlignment="1" applyBorder="1" applyFill="1" applyFont="1">
      <alignment shrinkToFit="0" vertical="bottom" wrapText="0"/>
    </xf>
    <xf borderId="11" fillId="7" fontId="15" numFmtId="0" xfId="0" applyAlignment="1" applyBorder="1" applyFont="1">
      <alignment horizontal="center" shrinkToFit="0" vertical="center" wrapText="1"/>
    </xf>
    <xf borderId="0" fillId="4" fontId="17" numFmtId="0" xfId="0" applyAlignment="1" applyFont="1">
      <alignment horizontal="center" readingOrder="0" shrinkToFit="0" vertical="center" wrapText="0"/>
    </xf>
    <xf borderId="6" fillId="4" fontId="16" numFmtId="0" xfId="0" applyAlignment="1" applyBorder="1" applyFont="1">
      <alignment horizontal="center" shrinkToFit="0" vertical="center" wrapText="0"/>
    </xf>
    <xf borderId="0" fillId="5" fontId="9" numFmtId="0" xfId="0" applyAlignment="1" applyFont="1">
      <alignment readingOrder="0" shrinkToFit="0" vertical="bottom" wrapText="0"/>
    </xf>
    <xf borderId="4" fillId="5" fontId="9" numFmtId="0" xfId="0" applyAlignment="1" applyBorder="1" applyFont="1">
      <alignment readingOrder="0" shrinkToFit="0" vertical="bottom" wrapText="0"/>
    </xf>
    <xf borderId="4" fillId="5" fontId="9" numFmtId="166" xfId="0" applyAlignment="1" applyBorder="1" applyFont="1" applyNumberFormat="1">
      <alignment horizontal="right" readingOrder="0" shrinkToFit="0" vertical="bottom" wrapText="0"/>
    </xf>
    <xf borderId="4" fillId="5" fontId="18" numFmtId="166" xfId="0" applyAlignment="1" applyBorder="1" applyFont="1" applyNumberFormat="1">
      <alignment horizontal="right" shrinkToFit="0" vertical="bottom" wrapText="0"/>
    </xf>
    <xf borderId="4" fillId="0" fontId="19" numFmtId="0" xfId="0" applyAlignment="1" applyBorder="1" applyFont="1">
      <alignment shrinkToFit="0" vertical="bottom" wrapText="0"/>
    </xf>
    <xf borderId="4" fillId="14" fontId="10" numFmtId="0" xfId="0" applyAlignment="1" applyBorder="1" applyFill="1" applyFont="1">
      <alignment horizontal="center" readingOrder="0" shrinkToFit="0" vertical="center" wrapText="1"/>
    </xf>
    <xf borderId="4" fillId="14" fontId="9" numFmtId="0" xfId="0" applyAlignment="1" applyBorder="1" applyFont="1">
      <alignment readingOrder="0" shrinkToFit="0" vertical="bottom" wrapText="0"/>
    </xf>
    <xf borderId="4" fillId="14" fontId="9" numFmtId="166" xfId="0" applyAlignment="1" applyBorder="1" applyFont="1" applyNumberFormat="1">
      <alignment horizontal="right" readingOrder="0" shrinkToFit="0" vertical="bottom" wrapText="0"/>
    </xf>
    <xf borderId="4" fillId="14" fontId="18" numFmtId="166" xfId="0" applyAlignment="1" applyBorder="1" applyFont="1" applyNumberFormat="1">
      <alignment horizontal="right" shrinkToFit="0" vertical="bottom" wrapText="0"/>
    </xf>
    <xf borderId="4" fillId="5" fontId="10" numFmtId="0" xfId="0" applyAlignment="1" applyBorder="1" applyFont="1">
      <alignment horizontal="center" readingOrder="0" shrinkToFit="0" vertical="bottom" wrapText="0"/>
    </xf>
    <xf borderId="4" fillId="14" fontId="10" numFmtId="0" xfId="0" applyAlignment="1" applyBorder="1" applyFont="1">
      <alignment horizontal="center" readingOrder="0" shrinkToFit="0" vertical="bottom" wrapText="0"/>
    </xf>
    <xf borderId="4" fillId="9" fontId="4" numFmtId="165" xfId="0" applyAlignment="1" applyBorder="1" applyFont="1" applyNumberFormat="1">
      <alignment horizontal="right" readingOrder="0" shrinkToFit="0" vertical="bottom" wrapText="0"/>
    </xf>
    <xf borderId="4" fillId="14" fontId="20" numFmtId="0" xfId="0" applyAlignment="1" applyBorder="1" applyFont="1">
      <alignment readingOrder="0" shrinkToFit="0" vertical="bottom" wrapText="0"/>
    </xf>
    <xf borderId="4" fillId="5" fontId="9" numFmtId="0" xfId="0" applyAlignment="1" applyBorder="1" applyFont="1">
      <alignment shrinkToFit="0" vertical="bottom" wrapText="0"/>
    </xf>
    <xf borderId="0" fillId="5" fontId="21" numFmtId="0" xfId="0" applyAlignment="1" applyFont="1">
      <alignment horizontal="center" readingOrder="0" shrinkToFit="0" vertical="center" wrapText="0"/>
    </xf>
    <xf borderId="4" fillId="5" fontId="22" numFmtId="0" xfId="0" applyAlignment="1" applyBorder="1" applyFont="1">
      <alignment horizontal="center" readingOrder="0" shrinkToFit="0" vertical="center" wrapText="0"/>
    </xf>
    <xf borderId="4" fillId="5" fontId="3" numFmtId="164" xfId="0" applyAlignment="1" applyBorder="1" applyFont="1" applyNumberFormat="1">
      <alignment horizontal="center" shrinkToFit="0" vertical="center" wrapText="0"/>
    </xf>
    <xf borderId="4" fillId="5" fontId="4" numFmtId="164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0" fillId="10" fontId="23" numFmtId="0" xfId="0" applyAlignment="1" applyFont="1">
      <alignment readingOrder="0"/>
    </xf>
    <xf borderId="4" fillId="5" fontId="4" numFmtId="165" xfId="0" applyAlignment="1" applyBorder="1" applyFont="1" applyNumberFormat="1">
      <alignment horizontal="right" shrinkToFit="0" vertical="bottom" wrapText="0"/>
    </xf>
    <xf borderId="12" fillId="8" fontId="9" numFmtId="165" xfId="0" applyAlignment="1" applyBorder="1" applyFont="1" applyNumberFormat="1">
      <alignment horizontal="right" readingOrder="0" shrinkToFit="0" vertical="bottom" wrapText="0"/>
    </xf>
    <xf borderId="4" fillId="15" fontId="13" numFmtId="0" xfId="0" applyAlignment="1" applyBorder="1" applyFill="1" applyFont="1">
      <alignment readingOrder="0" vertical="bottom"/>
    </xf>
    <xf borderId="12" fillId="15" fontId="13" numFmtId="165" xfId="0" applyAlignment="1" applyBorder="1" applyFont="1" applyNumberFormat="1">
      <alignment horizontal="right" vertical="bottom"/>
    </xf>
    <xf borderId="4" fillId="15" fontId="13" numFmtId="165" xfId="0" applyAlignment="1" applyBorder="1" applyFont="1" applyNumberFormat="1">
      <alignment horizontal="right" vertical="bottom"/>
    </xf>
    <xf borderId="4" fillId="16" fontId="10" numFmtId="0" xfId="0" applyAlignment="1" applyBorder="1" applyFill="1" applyFont="1">
      <alignment horizontal="center" readingOrder="0" shrinkToFit="0" vertical="bottom" wrapText="0"/>
    </xf>
    <xf borderId="0" fillId="10" fontId="24" numFmtId="0" xfId="0" applyAlignment="1" applyFont="1">
      <alignment readingOrder="0"/>
    </xf>
    <xf borderId="4" fillId="17" fontId="13" numFmtId="0" xfId="0" applyAlignment="1" applyBorder="1" applyFill="1" applyFont="1">
      <alignment readingOrder="0" vertical="bottom"/>
    </xf>
    <xf borderId="4" fillId="14" fontId="9" numFmtId="0" xfId="0" applyAlignment="1" applyBorder="1" applyFont="1">
      <alignment shrinkToFit="0" vertical="bottom" wrapText="0"/>
    </xf>
    <xf borderId="4" fillId="16" fontId="9" numFmtId="0" xfId="0" applyAlignment="1" applyBorder="1" applyFont="1">
      <alignment shrinkToFit="0" vertical="bottom" wrapText="0"/>
    </xf>
    <xf borderId="12" fillId="17" fontId="13" numFmtId="165" xfId="0" applyAlignment="1" applyBorder="1" applyFont="1" applyNumberFormat="1">
      <alignment horizontal="right" vertical="bottom"/>
    </xf>
    <xf borderId="4" fillId="16" fontId="9" numFmtId="166" xfId="0" applyAlignment="1" applyBorder="1" applyFont="1" applyNumberFormat="1">
      <alignment horizontal="right" shrinkToFit="0" vertical="bottom" wrapText="0"/>
    </xf>
    <xf borderId="0" fillId="5" fontId="25" numFmtId="0" xfId="0" applyAlignment="1" applyFont="1">
      <alignment readingOrder="0" shrinkToFit="0" vertical="bottom" wrapText="0"/>
    </xf>
    <xf borderId="4" fillId="17" fontId="13" numFmtId="165" xfId="0" applyAlignment="1" applyBorder="1" applyFont="1" applyNumberFormat="1">
      <alignment horizontal="right" vertical="bottom"/>
    </xf>
    <xf borderId="4" fillId="16" fontId="26" numFmtId="166" xfId="0" applyAlignment="1" applyBorder="1" applyFont="1" applyNumberFormat="1">
      <alignment shrinkToFit="0" vertical="bottom" wrapText="0"/>
    </xf>
    <xf borderId="4" fillId="5" fontId="18" numFmtId="166" xfId="0" applyAlignment="1" applyBorder="1" applyFont="1" applyNumberFormat="1">
      <alignment horizontal="right" readingOrder="0" shrinkToFit="0" vertical="bottom" wrapText="0"/>
    </xf>
    <xf borderId="4" fillId="5" fontId="9" numFmtId="166" xfId="0" applyAlignment="1" applyBorder="1" applyFont="1" applyNumberFormat="1">
      <alignment horizontal="right" shrinkToFit="0" vertical="bottom" wrapText="0"/>
    </xf>
    <xf borderId="4" fillId="5" fontId="26" numFmtId="166" xfId="0" applyAlignment="1" applyBorder="1" applyFont="1" applyNumberFormat="1">
      <alignment shrinkToFit="0" vertical="bottom" wrapText="0"/>
    </xf>
    <xf borderId="4" fillId="15" fontId="13" numFmtId="0" xfId="0" applyAlignment="1" applyBorder="1" applyFont="1">
      <alignment readingOrder="0" shrinkToFit="0" vertical="bottom" wrapText="0"/>
    </xf>
    <xf borderId="12" fillId="15" fontId="13" numFmtId="165" xfId="0" applyAlignment="1" applyBorder="1" applyFont="1" applyNumberFormat="1">
      <alignment horizontal="right" readingOrder="0" shrinkToFit="0" vertical="bottom" wrapText="0"/>
    </xf>
    <xf borderId="4" fillId="15" fontId="13" numFmtId="165" xfId="0" applyAlignment="1" applyBorder="1" applyFont="1" applyNumberFormat="1">
      <alignment shrinkToFit="0" vertical="bottom" wrapText="0"/>
    </xf>
    <xf borderId="4" fillId="16" fontId="9" numFmtId="0" xfId="0" applyAlignment="1" applyBorder="1" applyFont="1">
      <alignment readingOrder="0" shrinkToFit="0" vertical="bottom" wrapText="0"/>
    </xf>
    <xf borderId="4" fillId="16" fontId="9" numFmtId="166" xfId="0" applyAlignment="1" applyBorder="1" applyFont="1" applyNumberFormat="1">
      <alignment horizontal="right" readingOrder="0" shrinkToFit="0" vertical="bottom" wrapText="0"/>
    </xf>
    <xf borderId="4" fillId="8" fontId="9" numFmtId="0" xfId="0" applyAlignment="1" applyBorder="1" applyFont="1">
      <alignment readingOrder="0" shrinkToFit="0" vertical="bottom" wrapText="0"/>
    </xf>
    <xf borderId="4" fillId="14" fontId="18" numFmtId="166" xfId="0" applyAlignment="1" applyBorder="1" applyFont="1" applyNumberFormat="1">
      <alignment horizontal="right" readingOrder="0" shrinkToFit="0" vertical="bottom" wrapText="0"/>
    </xf>
    <xf borderId="6" fillId="18" fontId="27" numFmtId="0" xfId="0" applyAlignment="1" applyBorder="1" applyFill="1" applyFont="1">
      <alignment horizontal="center" shrinkToFit="0" vertical="center" wrapText="0"/>
    </xf>
    <xf borderId="8" fillId="18" fontId="2" numFmtId="0" xfId="0" applyBorder="1" applyFont="1"/>
    <xf borderId="10" fillId="18" fontId="2" numFmtId="0" xfId="0" applyBorder="1" applyFont="1"/>
    <xf borderId="4" fillId="11" fontId="13" numFmtId="0" xfId="0" applyAlignment="1" applyBorder="1" applyFont="1">
      <alignment readingOrder="0" shrinkToFit="0" vertical="bottom" wrapText="0"/>
    </xf>
    <xf borderId="12" fillId="11" fontId="13" numFmtId="165" xfId="0" applyAlignment="1" applyBorder="1" applyFont="1" applyNumberFormat="1">
      <alignment horizontal="right" readingOrder="0" shrinkToFit="0" vertical="bottom" wrapText="0"/>
    </xf>
    <xf borderId="4" fillId="11" fontId="13" numFmtId="165" xfId="0" applyAlignment="1" applyBorder="1" applyFont="1" applyNumberFormat="1">
      <alignment shrinkToFit="0" vertical="bottom" wrapText="0"/>
    </xf>
    <xf borderId="4" fillId="15" fontId="28" numFmtId="0" xfId="0" applyAlignment="1" applyBorder="1" applyFont="1">
      <alignment readingOrder="0" shrinkToFit="0" vertical="bottom" wrapText="0"/>
    </xf>
    <xf borderId="12" fillId="15" fontId="28" numFmtId="165" xfId="0" applyAlignment="1" applyBorder="1" applyFont="1" applyNumberFormat="1">
      <alignment horizontal="right" readingOrder="0" shrinkToFit="0" vertical="bottom" wrapText="0"/>
    </xf>
    <xf borderId="4" fillId="15" fontId="28" numFmtId="165" xfId="0" applyAlignment="1" applyBorder="1" applyFont="1" applyNumberFormat="1">
      <alignment shrinkToFit="0" vertical="bottom" wrapText="0"/>
    </xf>
    <xf borderId="4" fillId="3" fontId="4" numFmtId="0" xfId="0" applyAlignment="1" applyBorder="1" applyFont="1">
      <alignment readingOrder="0" shrinkToFit="0" vertical="bottom" wrapText="0"/>
    </xf>
    <xf borderId="12" fillId="11" fontId="13" numFmtId="165" xfId="0" applyAlignment="1" applyBorder="1" applyFont="1" applyNumberFormat="1">
      <alignment horizontal="right" readingOrder="0" vertical="bottom"/>
    </xf>
    <xf borderId="4" fillId="3" fontId="4" numFmtId="165" xfId="0" applyAlignment="1" applyBorder="1" applyFont="1" applyNumberFormat="1">
      <alignment horizontal="right" readingOrder="0" shrinkToFit="0" vertical="bottom" wrapText="0"/>
    </xf>
    <xf borderId="4" fillId="3" fontId="8" numFmtId="165" xfId="0" applyAlignment="1" applyBorder="1" applyFont="1" applyNumberFormat="1">
      <alignment shrinkToFit="0" vertical="bottom" wrapText="0"/>
    </xf>
    <xf borderId="4" fillId="3" fontId="4" numFmtId="165" xfId="0" applyAlignment="1" applyBorder="1" applyFont="1" applyNumberFormat="1">
      <alignment horizontal="right" shrinkToFit="0" vertical="bottom" wrapText="0"/>
    </xf>
    <xf borderId="4" fillId="3" fontId="4" numFmtId="0" xfId="0" applyAlignment="1" applyBorder="1" applyFont="1">
      <alignment shrinkToFit="0" vertical="bottom" wrapText="0"/>
    </xf>
    <xf borderId="4" fillId="5" fontId="10" numFmtId="0" xfId="0" applyAlignment="1" applyBorder="1" applyFont="1">
      <alignment horizontal="center" readingOrder="0" shrinkToFit="0" vertical="center" wrapText="1"/>
    </xf>
    <xf borderId="11" fillId="8" fontId="9" numFmtId="0" xfId="0" applyAlignment="1" applyBorder="1" applyFont="1">
      <alignment shrinkToFit="0" vertical="bottom" wrapText="0"/>
    </xf>
    <xf borderId="15" fillId="8" fontId="9" numFmtId="165" xfId="0" applyAlignment="1" applyBorder="1" applyFont="1" applyNumberFormat="1">
      <alignment horizontal="right" readingOrder="0" shrinkToFit="0" vertical="bottom" wrapText="0"/>
    </xf>
    <xf borderId="11" fillId="8" fontId="9" numFmtId="0" xfId="0" applyAlignment="1" applyBorder="1" applyFont="1">
      <alignment readingOrder="0" shrinkToFit="0" vertical="bottom" wrapText="0"/>
    </xf>
    <xf borderId="10" fillId="0" fontId="12" numFmtId="0" xfId="0" applyAlignment="1" applyBorder="1" applyFont="1">
      <alignment shrinkToFit="0" vertical="bottom" wrapText="0"/>
    </xf>
    <xf borderId="6" fillId="4" fontId="7" numFmtId="0" xfId="0" applyAlignment="1" applyBorder="1" applyFont="1">
      <alignment horizontal="center" shrinkToFit="0" vertical="center" wrapText="0"/>
    </xf>
    <xf borderId="4" fillId="5" fontId="9" numFmtId="165" xfId="0" applyAlignment="1" applyBorder="1" applyFont="1" applyNumberFormat="1">
      <alignment horizontal="right" readingOrder="0" shrinkToFit="0" vertical="bottom" wrapText="0"/>
    </xf>
    <xf borderId="4" fillId="5" fontId="10" numFmtId="165" xfId="0" applyAlignment="1" applyBorder="1" applyFont="1" applyNumberFormat="1">
      <alignment shrinkToFit="0" vertical="bottom" wrapText="0"/>
    </xf>
    <xf borderId="4" fillId="9" fontId="9" numFmtId="0" xfId="0" applyAlignment="1" applyBorder="1" applyFont="1">
      <alignment readingOrder="0" shrinkToFit="0" vertical="bottom" wrapText="0"/>
    </xf>
    <xf borderId="4" fillId="9" fontId="9" numFmtId="165" xfId="0" applyAlignment="1" applyBorder="1" applyFont="1" applyNumberFormat="1">
      <alignment horizontal="right" readingOrder="0" shrinkToFit="0" vertical="bottom" wrapText="0"/>
    </xf>
    <xf borderId="4" fillId="9" fontId="10" numFmtId="165" xfId="0" applyAlignment="1" applyBorder="1" applyFont="1" applyNumberFormat="1">
      <alignment shrinkToFit="0" vertical="bottom" wrapText="0"/>
    </xf>
    <xf borderId="12" fillId="5" fontId="9" numFmtId="165" xfId="0" applyAlignment="1" applyBorder="1" applyFont="1" applyNumberFormat="1">
      <alignment horizontal="right" shrinkToFit="0" vertical="bottom" wrapText="0"/>
    </xf>
    <xf borderId="4" fillId="9" fontId="9" numFmtId="0" xfId="0" applyAlignment="1" applyBorder="1" applyFont="1">
      <alignment shrinkToFit="0" vertical="bottom" wrapText="0"/>
    </xf>
    <xf borderId="12" fillId="9" fontId="9" numFmtId="165" xfId="0" applyAlignment="1" applyBorder="1" applyFont="1" applyNumberFormat="1">
      <alignment horizontal="right" shrinkToFit="0" vertical="bottom" wrapText="0"/>
    </xf>
    <xf borderId="0" fillId="18" fontId="29" numFmtId="0" xfId="0" applyAlignment="1" applyFont="1">
      <alignment horizontal="center" shrinkToFit="0" vertical="center" wrapText="0"/>
    </xf>
    <xf borderId="6" fillId="18" fontId="29" numFmtId="0" xfId="0" applyAlignment="1" applyBorder="1" applyFont="1">
      <alignment horizontal="center" shrinkToFit="0" vertical="center" wrapText="0"/>
    </xf>
    <xf borderId="0" fillId="5" fontId="9" numFmtId="0" xfId="0" applyAlignment="1" applyFont="1">
      <alignment shrinkToFit="0" vertical="bottom" wrapText="0"/>
    </xf>
    <xf borderId="12" fillId="9" fontId="9" numFmtId="165" xfId="0" applyAlignment="1" applyBorder="1" applyFont="1" applyNumberFormat="1">
      <alignment horizontal="right" readingOrder="0" shrinkToFit="0" vertical="bottom" wrapText="0"/>
    </xf>
    <xf borderId="0" fillId="19" fontId="9" numFmtId="0" xfId="0" applyAlignment="1" applyFill="1" applyFont="1">
      <alignment readingOrder="0" shrinkToFit="0" vertical="bottom" wrapText="0"/>
    </xf>
    <xf borderId="4" fillId="19" fontId="9" numFmtId="0" xfId="0" applyAlignment="1" applyBorder="1" applyFont="1">
      <alignment readingOrder="0" shrinkToFit="0" vertical="bottom" wrapText="0"/>
    </xf>
    <xf borderId="4" fillId="19" fontId="9" numFmtId="166" xfId="0" applyAlignment="1" applyBorder="1" applyFont="1" applyNumberFormat="1">
      <alignment horizontal="right" readingOrder="0" shrinkToFit="0" vertical="bottom" wrapText="0"/>
    </xf>
    <xf borderId="16" fillId="4" fontId="7" numFmtId="0" xfId="0" applyAlignment="1" applyBorder="1" applyFont="1">
      <alignment horizontal="center" shrinkToFit="0" vertical="center" wrapText="0"/>
    </xf>
    <xf borderId="17" fillId="4" fontId="2" numFmtId="0" xfId="0" applyBorder="1" applyFont="1"/>
    <xf borderId="16" fillId="5" fontId="2" numFmtId="0" xfId="0" applyBorder="1" applyFont="1"/>
    <xf borderId="0" fillId="14" fontId="11" numFmtId="0" xfId="0" applyAlignment="1" applyFont="1">
      <alignment readingOrder="0"/>
    </xf>
    <xf borderId="6" fillId="20" fontId="30" numFmtId="0" xfId="0" applyAlignment="1" applyBorder="1" applyFill="1" applyFont="1">
      <alignment horizontal="center" shrinkToFit="0" vertical="center" wrapText="0"/>
    </xf>
    <xf borderId="4" fillId="19" fontId="26" numFmtId="166" xfId="0" applyAlignment="1" applyBorder="1" applyFont="1" applyNumberFormat="1">
      <alignment shrinkToFit="0" vertical="bottom" wrapText="0"/>
    </xf>
    <xf borderId="0" fillId="19" fontId="9" numFmtId="0" xfId="0" applyAlignment="1" applyFont="1">
      <alignment shrinkToFit="0" vertical="bottom" wrapText="0"/>
    </xf>
    <xf borderId="4" fillId="19" fontId="9" numFmtId="0" xfId="0" applyAlignment="1" applyBorder="1" applyFont="1">
      <alignment shrinkToFit="0" vertical="bottom" wrapText="0"/>
    </xf>
    <xf borderId="4" fillId="19" fontId="9" numFmtId="166" xfId="0" applyAlignment="1" applyBorder="1" applyFont="1" applyNumberFormat="1">
      <alignment horizontal="right" shrinkToFit="0" vertical="bottom" wrapText="0"/>
    </xf>
    <xf borderId="17" fillId="5" fontId="2" numFmtId="0" xfId="0" applyBorder="1" applyFont="1"/>
    <xf borderId="18" fillId="9" fontId="2" numFmtId="0" xfId="0" applyBorder="1" applyFont="1"/>
    <xf borderId="19" fillId="9" fontId="2" numFmtId="0" xfId="0" applyBorder="1" applyFont="1"/>
    <xf borderId="20" fillId="9" fontId="2" numFmtId="0" xfId="0" applyBorder="1" applyFont="1"/>
    <xf borderId="8" fillId="20" fontId="2" numFmtId="0" xfId="0" applyBorder="1" applyFont="1"/>
    <xf borderId="10" fillId="20" fontId="2" numFmtId="0" xfId="0" applyBorder="1" applyFont="1"/>
    <xf borderId="4" fillId="21" fontId="4" numFmtId="0" xfId="0" applyAlignment="1" applyBorder="1" applyFill="1" applyFont="1">
      <alignment shrinkToFit="0" vertical="bottom" wrapText="0"/>
    </xf>
    <xf borderId="4" fillId="21" fontId="4" numFmtId="165" xfId="0" applyAlignment="1" applyBorder="1" applyFont="1" applyNumberFormat="1">
      <alignment horizontal="right" shrinkToFit="0" vertical="bottom" wrapText="0"/>
    </xf>
    <xf borderId="4" fillId="21" fontId="8" numFmtId="165" xfId="0" applyAlignment="1" applyBorder="1" applyFont="1" applyNumberFormat="1">
      <alignment shrinkToFit="0" vertical="bottom" wrapText="0"/>
    </xf>
    <xf borderId="0" fillId="5" fontId="11" numFmtId="0" xfId="0" applyAlignment="1" applyFont="1">
      <alignment readingOrder="0"/>
    </xf>
    <xf borderId="4" fillId="21" fontId="4" numFmtId="165" xfId="0" applyAlignment="1" applyBorder="1" applyFont="1" applyNumberFormat="1">
      <alignment horizontal="right" readingOrder="0" shrinkToFit="0" vertical="bottom" wrapText="0"/>
    </xf>
    <xf borderId="6" fillId="22" fontId="30" numFmtId="0" xfId="0" applyAlignment="1" applyBorder="1" applyFill="1" applyFont="1">
      <alignment horizontal="center" shrinkToFit="0" vertical="center" wrapText="0"/>
    </xf>
    <xf borderId="8" fillId="22" fontId="2" numFmtId="0" xfId="0" applyBorder="1" applyFont="1"/>
    <xf borderId="10" fillId="22" fontId="2" numFmtId="0" xfId="0" applyBorder="1" applyFont="1"/>
    <xf borderId="4" fillId="5" fontId="9" numFmtId="165" xfId="0" applyAlignment="1" applyBorder="1" applyFont="1" applyNumberFormat="1">
      <alignment horizontal="right" shrinkToFit="0" vertical="bottom" wrapText="0"/>
    </xf>
    <xf borderId="4" fillId="5" fontId="26" numFmtId="165" xfId="0" applyAlignment="1" applyBorder="1" applyFont="1" applyNumberFormat="1">
      <alignment shrinkToFit="0" vertical="bottom" wrapText="0"/>
    </xf>
    <xf borderId="4" fillId="23" fontId="9" numFmtId="0" xfId="0" applyAlignment="1" applyBorder="1" applyFill="1" applyFont="1">
      <alignment shrinkToFit="0" vertical="bottom" wrapText="0"/>
    </xf>
    <xf borderId="0" fillId="0" fontId="14" numFmtId="0" xfId="0" applyFont="1"/>
    <xf borderId="4" fillId="23" fontId="9" numFmtId="165" xfId="0" applyAlignment="1" applyBorder="1" applyFont="1" applyNumberFormat="1">
      <alignment horizontal="right" shrinkToFit="0" vertical="bottom" wrapText="0"/>
    </xf>
    <xf borderId="4" fillId="5" fontId="9" numFmtId="167" xfId="0" applyAlignment="1" applyBorder="1" applyFont="1" applyNumberFormat="1">
      <alignment shrinkToFit="0" vertical="bottom" wrapText="0"/>
    </xf>
    <xf borderId="4" fillId="23" fontId="26" numFmtId="165" xfId="0" applyAlignment="1" applyBorder="1" applyFont="1" applyNumberFormat="1">
      <alignment shrinkToFit="0" vertical="bottom" wrapText="0"/>
    </xf>
    <xf borderId="0" fillId="23" fontId="14" numFmtId="0" xfId="0" applyAlignment="1" applyFont="1">
      <alignment readingOrder="0"/>
    </xf>
    <xf borderId="4" fillId="23" fontId="9" numFmtId="165" xfId="0" applyAlignment="1" applyBorder="1" applyFont="1" applyNumberFormat="1">
      <alignment horizontal="right" readingOrder="0" shrinkToFit="0" vertical="bottom" wrapText="0"/>
    </xf>
    <xf borderId="0" fillId="5" fontId="14" numFmtId="0" xfId="0" applyAlignment="1" applyFont="1">
      <alignment readingOrder="0"/>
    </xf>
    <xf borderId="4" fillId="23" fontId="9" numFmtId="0" xfId="0" applyAlignment="1" applyBorder="1" applyFont="1">
      <alignment readingOrder="0" shrinkToFit="0" vertical="bottom" wrapText="0"/>
    </xf>
    <xf borderId="12" fillId="5" fontId="9" numFmtId="165" xfId="0" applyAlignment="1" applyBorder="1" applyFont="1" applyNumberFormat="1">
      <alignment horizontal="right" readingOrder="0" shrinkToFit="0" vertical="bottom" wrapText="0"/>
    </xf>
    <xf borderId="0" fillId="24" fontId="31" numFmtId="0" xfId="0" applyAlignment="1" applyFill="1" applyFont="1">
      <alignment horizontal="center" readingOrder="0" shrinkToFit="0" vertical="center" wrapText="0"/>
    </xf>
    <xf borderId="6" fillId="24" fontId="31" numFmtId="0" xfId="0" applyAlignment="1" applyBorder="1" applyFont="1">
      <alignment horizontal="center" readingOrder="0" shrinkToFit="0" vertical="center" wrapText="0"/>
    </xf>
    <xf borderId="8" fillId="24" fontId="2" numFmtId="0" xfId="0" applyBorder="1" applyFont="1"/>
    <xf borderId="10" fillId="24" fontId="2" numFmtId="0" xfId="0" applyBorder="1" applyFont="1"/>
    <xf borderId="6" fillId="10" fontId="32" numFmtId="0" xfId="0" applyAlignment="1" applyBorder="1" applyFont="1">
      <alignment horizontal="center" readingOrder="0" shrinkToFit="0" vertical="center" wrapText="0"/>
    </xf>
    <xf borderId="16" fillId="5" fontId="9" numFmtId="165" xfId="0" applyAlignment="1" applyBorder="1" applyFont="1" applyNumberFormat="1">
      <alignment horizontal="right" readingOrder="0" shrinkToFit="0" vertical="bottom" wrapText="0"/>
    </xf>
    <xf borderId="18" fillId="4" fontId="7" numFmtId="0" xfId="0" applyAlignment="1" applyBorder="1" applyFont="1">
      <alignment horizontal="center" shrinkToFit="0" vertical="center" wrapText="0"/>
    </xf>
    <xf borderId="19" fillId="4" fontId="2" numFmtId="0" xfId="0" applyBorder="1" applyFont="1"/>
    <xf borderId="20" fillId="4" fontId="2" numFmtId="0" xfId="0" applyBorder="1" applyFont="1"/>
    <xf borderId="0" fillId="25" fontId="9" numFmtId="0" xfId="0" applyAlignment="1" applyFill="1" applyFont="1">
      <alignment shrinkToFit="0" vertical="bottom" wrapText="0"/>
    </xf>
    <xf borderId="8" fillId="10" fontId="2" numFmtId="0" xfId="0" applyBorder="1" applyFont="1"/>
    <xf borderId="4" fillId="25" fontId="9" numFmtId="0" xfId="0" applyAlignment="1" applyBorder="1" applyFont="1">
      <alignment shrinkToFit="0" vertical="bottom" wrapText="0"/>
    </xf>
    <xf borderId="10" fillId="10" fontId="2" numFmtId="0" xfId="0" applyBorder="1" applyFont="1"/>
    <xf borderId="4" fillId="25" fontId="9" numFmtId="166" xfId="0" applyAlignment="1" applyBorder="1" applyFont="1" applyNumberFormat="1">
      <alignment horizontal="right" readingOrder="0" shrinkToFit="0" vertical="bottom" wrapText="0"/>
    </xf>
    <xf borderId="4" fillId="25" fontId="26" numFmtId="166" xfId="0" applyAlignment="1" applyBorder="1" applyFont="1" applyNumberFormat="1">
      <alignment shrinkToFit="0" vertical="bottom" wrapText="0"/>
    </xf>
    <xf borderId="4" fillId="26" fontId="4" numFmtId="0" xfId="0" applyAlignment="1" applyBorder="1" applyFill="1" applyFont="1">
      <alignment horizontal="left" shrinkToFit="0" vertical="bottom" wrapText="0"/>
    </xf>
    <xf borderId="4" fillId="9" fontId="9" numFmtId="165" xfId="0" applyAlignment="1" applyBorder="1" applyFont="1" applyNumberFormat="1">
      <alignment horizontal="right" shrinkToFit="0" vertical="bottom" wrapText="0"/>
    </xf>
    <xf borderId="4" fillId="26" fontId="4" numFmtId="165" xfId="0" applyAlignment="1" applyBorder="1" applyFont="1" applyNumberFormat="1">
      <alignment horizontal="right" shrinkToFit="0" vertical="bottom" wrapText="0"/>
    </xf>
    <xf borderId="4" fillId="26" fontId="8" numFmtId="165" xfId="0" applyAlignment="1" applyBorder="1" applyFont="1" applyNumberFormat="1">
      <alignment shrinkToFit="0" vertical="bottom" wrapText="0"/>
    </xf>
    <xf borderId="4" fillId="26" fontId="4" numFmtId="0" xfId="0" applyAlignment="1" applyBorder="1" applyFont="1">
      <alignment shrinkToFit="0" vertical="bottom" wrapText="0"/>
    </xf>
    <xf borderId="4" fillId="5" fontId="4" numFmtId="0" xfId="0" applyAlignment="1" applyBorder="1" applyFont="1">
      <alignment horizontal="left" readingOrder="0" shrinkToFit="0" vertical="bottom" wrapText="0"/>
    </xf>
    <xf borderId="0" fillId="25" fontId="9" numFmtId="0" xfId="0" applyAlignment="1" applyFont="1">
      <alignment readingOrder="0" shrinkToFit="0" vertical="bottom" wrapText="0"/>
    </xf>
    <xf borderId="4" fillId="25" fontId="9" numFmtId="0" xfId="0" applyAlignment="1" applyBorder="1" applyFont="1">
      <alignment readingOrder="0" shrinkToFit="0" vertical="bottom" wrapText="0"/>
    </xf>
    <xf borderId="4" fillId="26" fontId="4" numFmtId="0" xfId="0" applyAlignment="1" applyBorder="1" applyFont="1">
      <alignment readingOrder="0" shrinkToFit="0" vertical="bottom" wrapText="0"/>
    </xf>
    <xf borderId="0" fillId="18" fontId="1" numFmtId="0" xfId="0" applyAlignment="1" applyFont="1">
      <alignment horizontal="center" shrinkToFit="0" vertical="center" wrapText="0"/>
    </xf>
    <xf borderId="4" fillId="26" fontId="4" numFmtId="165" xfId="0" applyAlignment="1" applyBorder="1" applyFont="1" applyNumberFormat="1">
      <alignment horizontal="right" readingOrder="0" shrinkToFit="0" vertical="bottom" wrapText="0"/>
    </xf>
    <xf borderId="6" fillId="18" fontId="1" numFmtId="0" xfId="0" applyAlignment="1" applyBorder="1" applyFont="1">
      <alignment horizontal="center" shrinkToFit="0" vertical="center" wrapText="0"/>
    </xf>
    <xf borderId="0" fillId="25" fontId="11" numFmtId="0" xfId="0" applyAlignment="1" applyFont="1">
      <alignment readingOrder="0"/>
    </xf>
    <xf borderId="4" fillId="25" fontId="11" numFmtId="0" xfId="0" applyAlignment="1" applyBorder="1" applyFont="1">
      <alignment readingOrder="0"/>
    </xf>
    <xf borderId="4" fillId="5" fontId="17" numFmtId="0" xfId="0" applyAlignment="1" applyBorder="1" applyFont="1">
      <alignment horizontal="center" readingOrder="0" shrinkToFit="0" vertical="center" wrapText="0"/>
    </xf>
    <xf borderId="4" fillId="5" fontId="11" numFmtId="0" xfId="0" applyAlignment="1" applyBorder="1" applyFont="1">
      <alignment readingOrder="0"/>
    </xf>
    <xf borderId="4" fillId="5" fontId="18" numFmtId="166" xfId="0" applyAlignment="1" applyBorder="1" applyFont="1" applyNumberFormat="1">
      <alignment horizontal="center" readingOrder="0" shrinkToFit="0" vertical="center" wrapText="0"/>
    </xf>
    <xf borderId="4" fillId="26" fontId="4" numFmtId="0" xfId="0" applyAlignment="1" applyBorder="1" applyFont="1">
      <alignment horizontal="left" readingOrder="0" shrinkToFit="0" vertical="bottom" wrapText="0"/>
    </xf>
    <xf borderId="4" fillId="3" fontId="9" numFmtId="0" xfId="0" applyAlignment="1" applyBorder="1" applyFont="1">
      <alignment horizontal="center" readingOrder="0" shrinkToFit="0" vertical="bottom" wrapText="0"/>
    </xf>
    <xf borderId="4" fillId="3" fontId="9" numFmtId="0" xfId="0" applyAlignment="1" applyBorder="1" applyFont="1">
      <alignment shrinkToFit="0" vertical="bottom" wrapText="0"/>
    </xf>
    <xf borderId="4" fillId="3" fontId="9" numFmtId="166" xfId="0" applyAlignment="1" applyBorder="1" applyFont="1" applyNumberFormat="1">
      <alignment horizontal="right" shrinkToFit="0" vertical="bottom" wrapText="0"/>
    </xf>
    <xf borderId="4" fillId="3" fontId="18" numFmtId="166" xfId="0" applyAlignment="1" applyBorder="1" applyFont="1" applyNumberFormat="1">
      <alignment horizontal="right" shrinkToFit="0" vertical="bottom" wrapText="0"/>
    </xf>
    <xf borderId="4" fillId="3" fontId="10" numFmtId="0" xfId="0" applyAlignment="1" applyBorder="1" applyFont="1">
      <alignment horizontal="center" readingOrder="0" shrinkToFit="0" vertical="bottom" wrapText="0"/>
    </xf>
    <xf borderId="6" fillId="4" fontId="33" numFmtId="0" xfId="0" applyAlignment="1" applyBorder="1" applyFont="1">
      <alignment horizontal="center" shrinkToFit="0" vertical="center" wrapText="0"/>
    </xf>
    <xf borderId="4" fillId="8" fontId="9" numFmtId="0" xfId="0" applyAlignment="1" applyBorder="1" applyFont="1">
      <alignment shrinkToFit="0" vertical="bottom" wrapText="0"/>
    </xf>
    <xf borderId="12" fillId="8" fontId="9" numFmtId="165" xfId="0" applyAlignment="1" applyBorder="1" applyFont="1" applyNumberFormat="1">
      <alignment horizontal="right" shrinkToFit="0" vertical="bottom" wrapText="0"/>
    </xf>
    <xf borderId="4" fillId="8" fontId="10" numFmtId="165" xfId="0" applyAlignment="1" applyBorder="1" applyFont="1" applyNumberFormat="1">
      <alignment shrinkToFit="0" vertical="bottom" wrapText="0"/>
    </xf>
    <xf borderId="6" fillId="12" fontId="34" numFmtId="0" xfId="0" applyAlignment="1" applyBorder="1" applyFont="1">
      <alignment horizontal="center" readingOrder="0" vertical="center"/>
    </xf>
    <xf borderId="8" fillId="12" fontId="2" numFmtId="0" xfId="0" applyBorder="1" applyFont="1"/>
    <xf borderId="10" fillId="12" fontId="2" numFmtId="0" xfId="0" applyBorder="1" applyFont="1"/>
    <xf borderId="4" fillId="8" fontId="9" numFmtId="0" xfId="0" applyAlignment="1" applyBorder="1" applyFont="1">
      <alignment readingOrder="0" shrinkToFit="0" vertical="bottom" wrapText="0"/>
    </xf>
    <xf borderId="12" fillId="8" fontId="9" numFmtId="165" xfId="0" applyAlignment="1" applyBorder="1" applyFont="1" applyNumberFormat="1">
      <alignment horizontal="right" readingOrder="0" shrinkToFit="0" vertical="bottom" wrapText="0"/>
    </xf>
    <xf borderId="0" fillId="25" fontId="14" numFmtId="0" xfId="0" applyFont="1"/>
    <xf borderId="4" fillId="3" fontId="9" numFmtId="166" xfId="0" applyAlignment="1" applyBorder="1" applyFont="1" applyNumberFormat="1">
      <alignment horizontal="right" readingOrder="0" shrinkToFit="0" vertical="bottom" wrapText="0"/>
    </xf>
    <xf borderId="4" fillId="5" fontId="35" numFmtId="0" xfId="0" applyAlignment="1" applyBorder="1" applyFont="1">
      <alignment horizontal="left" readingOrder="0" shrinkToFit="0" wrapText="0"/>
    </xf>
    <xf borderId="6" fillId="8" fontId="7" numFmtId="0" xfId="0" applyAlignment="1" applyBorder="1" applyFont="1">
      <alignment horizontal="center" readingOrder="0" shrinkToFit="0" vertical="center" wrapText="0"/>
    </xf>
    <xf borderId="4" fillId="27" fontId="35" numFmtId="0" xfId="0" applyAlignment="1" applyBorder="1" applyFill="1" applyFont="1">
      <alignment horizontal="left" readingOrder="0" shrinkToFit="0" wrapText="0"/>
    </xf>
    <xf borderId="4" fillId="27" fontId="4" numFmtId="165" xfId="0" applyAlignment="1" applyBorder="1" applyFont="1" applyNumberFormat="1">
      <alignment horizontal="right" readingOrder="0" shrinkToFit="0" vertical="bottom" wrapText="0"/>
    </xf>
    <xf borderId="0" fillId="27" fontId="27" numFmtId="0" xfId="0" applyAlignment="1" applyFont="1">
      <alignment horizontal="center" shrinkToFit="0" vertical="center" wrapText="0"/>
    </xf>
    <xf borderId="8" fillId="8" fontId="7" numFmtId="0" xfId="0" applyAlignment="1" applyBorder="1" applyFont="1">
      <alignment horizontal="center" readingOrder="0" shrinkToFit="0" vertical="center" wrapText="0"/>
    </xf>
    <xf borderId="6" fillId="28" fontId="36" numFmtId="0" xfId="0" applyAlignment="1" applyBorder="1" applyFill="1" applyFont="1">
      <alignment horizontal="center" readingOrder="0" vertical="center"/>
    </xf>
    <xf borderId="6" fillId="27" fontId="27" numFmtId="0" xfId="0" applyAlignment="1" applyBorder="1" applyFont="1">
      <alignment horizontal="center" shrinkToFit="0" vertical="center" wrapText="0"/>
    </xf>
    <xf borderId="8" fillId="27" fontId="2" numFmtId="0" xfId="0" applyBorder="1" applyFont="1"/>
    <xf borderId="10" fillId="27" fontId="2" numFmtId="0" xfId="0" applyBorder="1" applyFont="1"/>
    <xf borderId="0" fillId="5" fontId="9" numFmtId="0" xfId="0" applyAlignment="1" applyFont="1">
      <alignment horizontal="left" shrinkToFit="0" vertical="bottom" wrapText="0"/>
    </xf>
    <xf borderId="4" fillId="5" fontId="9" numFmtId="0" xfId="0" applyAlignment="1" applyBorder="1" applyFont="1">
      <alignment horizontal="left" shrinkToFit="0" vertical="bottom" wrapText="0"/>
    </xf>
    <xf borderId="4" fillId="5" fontId="9" numFmtId="168" xfId="0" applyAlignment="1" applyBorder="1" applyFont="1" applyNumberFormat="1">
      <alignment horizontal="right" readingOrder="0" shrinkToFit="0" vertical="bottom" wrapText="0"/>
    </xf>
    <xf borderId="0" fillId="29" fontId="9" numFmtId="0" xfId="0" applyAlignment="1" applyFill="1" applyFont="1">
      <alignment horizontal="left" shrinkToFit="0" vertical="bottom" wrapText="0"/>
    </xf>
    <xf borderId="4" fillId="29" fontId="9" numFmtId="0" xfId="0" applyAlignment="1" applyBorder="1" applyFont="1">
      <alignment horizontal="left" shrinkToFit="0" vertical="bottom" wrapText="0"/>
    </xf>
    <xf borderId="4" fillId="29" fontId="9" numFmtId="168" xfId="0" applyAlignment="1" applyBorder="1" applyFont="1" applyNumberFormat="1">
      <alignment horizontal="right" shrinkToFit="0" vertical="bottom" wrapText="0"/>
    </xf>
    <xf borderId="4" fillId="29" fontId="26" numFmtId="166" xfId="0" applyAlignment="1" applyBorder="1" applyFont="1" applyNumberFormat="1">
      <alignment shrinkToFit="0" vertical="bottom" wrapText="0"/>
    </xf>
    <xf borderId="4" fillId="3" fontId="9" numFmtId="0" xfId="0" applyAlignment="1" applyBorder="1" applyFont="1">
      <alignment readingOrder="0" shrinkToFit="0" vertical="bottom" wrapText="0"/>
    </xf>
    <xf borderId="0" fillId="29" fontId="9" numFmtId="0" xfId="0" applyAlignment="1" applyFont="1">
      <alignment readingOrder="0" shrinkToFit="0" vertical="bottom" wrapText="0"/>
    </xf>
    <xf borderId="6" fillId="8" fontId="9" numFmtId="165" xfId="0" applyAlignment="1" applyBorder="1" applyFont="1" applyNumberFormat="1">
      <alignment horizontal="right" readingOrder="0" shrinkToFit="0" vertical="bottom" wrapText="0"/>
    </xf>
    <xf borderId="8" fillId="5" fontId="2" numFmtId="0" xfId="0" applyBorder="1" applyFont="1"/>
    <xf borderId="4" fillId="29" fontId="9" numFmtId="0" xfId="0" applyAlignment="1" applyBorder="1" applyFont="1">
      <alignment readingOrder="0" shrinkToFit="0" vertical="bottom" wrapText="0"/>
    </xf>
    <xf borderId="10" fillId="5" fontId="2" numFmtId="0" xfId="0" applyBorder="1" applyFont="1"/>
    <xf borderId="4" fillId="29" fontId="9" numFmtId="166" xfId="0" applyAlignment="1" applyBorder="1" applyFont="1" applyNumberFormat="1">
      <alignment horizontal="right" readingOrder="0" shrinkToFit="0" vertical="bottom" wrapText="0"/>
    </xf>
    <xf borderId="4" fillId="3" fontId="18" numFmtId="166" xfId="0" applyAlignment="1" applyBorder="1" applyFont="1" applyNumberFormat="1">
      <alignment horizontal="right" readingOrder="0" shrinkToFit="0" vertical="bottom" wrapText="0"/>
    </xf>
    <xf borderId="4" fillId="8" fontId="9" numFmtId="165" xfId="0" applyAlignment="1" applyBorder="1" applyFont="1" applyNumberFormat="1">
      <alignment horizontal="right" readingOrder="0" shrinkToFit="0" vertical="bottom" wrapText="0"/>
    </xf>
    <xf borderId="4" fillId="27" fontId="37" numFmtId="0" xfId="0" applyAlignment="1" applyBorder="1" applyFont="1">
      <alignment horizontal="left" readingOrder="0" shrinkToFit="0" wrapText="0"/>
    </xf>
    <xf borderId="4" fillId="5" fontId="38" numFmtId="0" xfId="0" applyAlignment="1" applyBorder="1" applyFont="1">
      <alignment horizontal="center" vertical="bottom"/>
    </xf>
    <xf borderId="4" fillId="5" fontId="39" numFmtId="0" xfId="0" applyAlignment="1" applyBorder="1" applyFont="1">
      <alignment vertical="bottom"/>
    </xf>
    <xf borderId="4" fillId="27" fontId="18" numFmtId="165" xfId="0" applyAlignment="1" applyBorder="1" applyFont="1" applyNumberFormat="1">
      <alignment horizontal="right" readingOrder="0" shrinkToFit="0" vertical="bottom" wrapText="0"/>
    </xf>
    <xf borderId="0" fillId="29" fontId="9" numFmtId="0" xfId="0" applyAlignment="1" applyFont="1">
      <alignment shrinkToFit="0" vertical="bottom" wrapText="0"/>
    </xf>
    <xf borderId="4" fillId="5" fontId="37" numFmtId="0" xfId="0" applyAlignment="1" applyBorder="1" applyFont="1">
      <alignment horizontal="left" readingOrder="0" shrinkToFit="0" wrapText="0"/>
    </xf>
    <xf borderId="4" fillId="5" fontId="18" numFmtId="165" xfId="0" applyAlignment="1" applyBorder="1" applyFont="1" applyNumberFormat="1">
      <alignment horizontal="right" readingOrder="0" shrinkToFit="0" vertical="bottom" wrapText="0"/>
    </xf>
    <xf borderId="4" fillId="8" fontId="40" numFmtId="0" xfId="0" applyAlignment="1" applyBorder="1" applyFont="1">
      <alignment readingOrder="0" shrinkToFit="0" vertical="bottom" wrapText="0"/>
    </xf>
    <xf borderId="4" fillId="5" fontId="39" numFmtId="166" xfId="0" applyAlignment="1" applyBorder="1" applyFont="1" applyNumberFormat="1">
      <alignment horizontal="right" vertical="bottom"/>
    </xf>
    <xf borderId="4" fillId="29" fontId="9" numFmtId="0" xfId="0" applyAlignment="1" applyBorder="1" applyFont="1">
      <alignment shrinkToFit="0" vertical="bottom" wrapText="0"/>
    </xf>
    <xf borderId="4" fillId="5" fontId="41" numFmtId="166" xfId="0" applyAlignment="1" applyBorder="1" applyFont="1" applyNumberFormat="1">
      <alignment horizontal="right" vertical="bottom"/>
    </xf>
    <xf borderId="4" fillId="5" fontId="42" numFmtId="0" xfId="0" applyAlignment="1" applyBorder="1" applyFont="1">
      <alignment horizontal="left" readingOrder="0" shrinkToFit="0" wrapText="0"/>
    </xf>
    <xf borderId="4" fillId="29" fontId="9" numFmtId="166" xfId="0" applyAlignment="1" applyBorder="1" applyFont="1" applyNumberFormat="1">
      <alignment horizontal="right" shrinkToFit="0" vertical="bottom" wrapText="0"/>
    </xf>
    <xf borderId="4" fillId="27" fontId="42" numFmtId="0" xfId="0" applyAlignment="1" applyBorder="1" applyFont="1">
      <alignment horizontal="left" readingOrder="0" shrinkToFit="0" wrapText="0"/>
    </xf>
    <xf borderId="11" fillId="8" fontId="9" numFmtId="0" xfId="0" applyAlignment="1" applyBorder="1" applyFont="1">
      <alignment readingOrder="0" shrinkToFit="0" vertical="bottom" wrapText="0"/>
    </xf>
    <xf borderId="15" fillId="8" fontId="9" numFmtId="165" xfId="0" applyAlignment="1" applyBorder="1" applyFont="1" applyNumberFormat="1">
      <alignment horizontal="right" readingOrder="0" shrinkToFit="0" vertical="bottom" wrapText="0"/>
    </xf>
    <xf borderId="21" fillId="30" fontId="22" numFmtId="0" xfId="0" applyAlignment="1" applyBorder="1" applyFill="1" applyFont="1">
      <alignment horizontal="center" shrinkToFit="0" vertical="center" wrapText="0"/>
    </xf>
    <xf borderId="22" fillId="30" fontId="22" numFmtId="0" xfId="0" applyAlignment="1" applyBorder="1" applyFont="1">
      <alignment horizontal="center" shrinkToFit="0" vertical="center" wrapText="0"/>
    </xf>
    <xf borderId="4" fillId="30" fontId="10" numFmtId="165" xfId="0" applyAlignment="1" applyBorder="1" applyFont="1" applyNumberFormat="1">
      <alignment shrinkToFit="0" vertical="bottom" wrapText="0"/>
    </xf>
    <xf borderId="18" fillId="30" fontId="7" numFmtId="0" xfId="0" applyAlignment="1" applyBorder="1" applyFont="1">
      <alignment horizontal="center" shrinkToFit="0" vertical="center" wrapText="0"/>
    </xf>
    <xf borderId="19" fillId="30" fontId="7" numFmtId="0" xfId="0" applyAlignment="1" applyBorder="1" applyFont="1">
      <alignment horizontal="center" shrinkToFit="0" vertical="center" wrapText="0"/>
    </xf>
    <xf borderId="4" fillId="30" fontId="9" numFmtId="0" xfId="0" applyAlignment="1" applyBorder="1" applyFont="1">
      <alignment shrinkToFit="0" vertical="bottom" wrapText="0"/>
    </xf>
    <xf borderId="12" fillId="30" fontId="9" numFmtId="165" xfId="0" applyAlignment="1" applyBorder="1" applyFont="1" applyNumberFormat="1">
      <alignment horizontal="right" shrinkToFit="0" vertical="bottom" wrapText="0"/>
    </xf>
    <xf borderId="4" fillId="30" fontId="9" numFmtId="0" xfId="0" applyAlignment="1" applyBorder="1" applyFont="1">
      <alignment readingOrder="0" shrinkToFit="0" vertical="bottom" wrapText="0"/>
    </xf>
    <xf borderId="12" fillId="30" fontId="9" numFmtId="165" xfId="0" applyAlignment="1" applyBorder="1" applyFont="1" applyNumberFormat="1">
      <alignment horizontal="right" readingOrder="0" shrinkToFit="0" vertical="bottom" wrapText="0"/>
    </xf>
    <xf borderId="4" fillId="31" fontId="41" numFmtId="0" xfId="0" applyAlignment="1" applyBorder="1" applyFill="1" applyFont="1">
      <alignment readingOrder="0" vertical="bottom"/>
    </xf>
    <xf borderId="12" fillId="31" fontId="41" numFmtId="165" xfId="0" applyAlignment="1" applyBorder="1" applyFont="1" applyNumberFormat="1">
      <alignment horizontal="right" vertical="bottom"/>
    </xf>
    <xf borderId="4" fillId="31" fontId="43" numFmtId="165" xfId="0" applyAlignment="1" applyBorder="1" applyFont="1" applyNumberFormat="1">
      <alignment horizontal="right" vertical="bottom"/>
    </xf>
    <xf borderId="4" fillId="5" fontId="44" numFmtId="0" xfId="0" applyAlignment="1" applyBorder="1" applyFont="1">
      <alignment horizontal="center" readingOrder="0"/>
    </xf>
    <xf borderId="0" fillId="32" fontId="45" numFmtId="0" xfId="0" applyAlignment="1" applyFill="1" applyFont="1">
      <alignment horizontal="center" readingOrder="0" shrinkToFit="0" vertical="center" wrapText="0"/>
    </xf>
    <xf borderId="4" fillId="3" fontId="44" numFmtId="0" xfId="0" applyAlignment="1" applyBorder="1" applyFont="1">
      <alignment horizontal="center" readingOrder="0"/>
    </xf>
    <xf borderId="0" fillId="3" fontId="11" numFmtId="0" xfId="0" applyAlignment="1" applyFont="1">
      <alignment readingOrder="0"/>
    </xf>
    <xf borderId="6" fillId="32" fontId="45" numFmtId="0" xfId="0" applyAlignment="1" applyBorder="1" applyFont="1">
      <alignment horizontal="center" readingOrder="0" shrinkToFit="0" vertical="center" wrapText="0"/>
    </xf>
    <xf borderId="8" fillId="32" fontId="2" numFmtId="0" xfId="0" applyBorder="1" applyFont="1"/>
    <xf borderId="10" fillId="32" fontId="2" numFmtId="0" xfId="0" applyBorder="1" applyFont="1"/>
    <xf borderId="0" fillId="5" fontId="12" numFmtId="0" xfId="0" applyAlignment="1" applyFont="1">
      <alignment readingOrder="0" shrinkToFit="0" vertical="bottom" wrapText="0"/>
    </xf>
    <xf borderId="4" fillId="5" fontId="12" numFmtId="0" xfId="0" applyAlignment="1" applyBorder="1" applyFont="1">
      <alignment readingOrder="0" shrinkToFit="0" vertical="bottom" wrapText="0"/>
    </xf>
    <xf borderId="0" fillId="33" fontId="12" numFmtId="0" xfId="0" applyAlignment="1" applyFill="1" applyFont="1">
      <alignment readingOrder="0" shrinkToFit="0" vertical="bottom" wrapText="0"/>
    </xf>
    <xf borderId="4" fillId="33" fontId="12" numFmtId="0" xfId="0" applyAlignment="1" applyBorder="1" applyFont="1">
      <alignment readingOrder="0" shrinkToFit="0" vertical="bottom" wrapText="0"/>
    </xf>
    <xf borderId="4" fillId="33" fontId="9" numFmtId="165" xfId="0" applyAlignment="1" applyBorder="1" applyFont="1" applyNumberFormat="1">
      <alignment horizontal="right" shrinkToFit="0" vertical="bottom" wrapText="0"/>
    </xf>
    <xf borderId="0" fillId="5" fontId="12" numFmtId="0" xfId="0" applyAlignment="1" applyFont="1">
      <alignment shrinkToFit="0" vertical="bottom" wrapText="0"/>
    </xf>
    <xf borderId="4" fillId="5" fontId="12" numFmtId="0" xfId="0" applyAlignment="1" applyBorder="1" applyFont="1">
      <alignment shrinkToFit="0" vertical="bottom" wrapText="0"/>
    </xf>
    <xf borderId="0" fillId="33" fontId="12" numFmtId="0" xfId="0" applyAlignment="1" applyFont="1">
      <alignment shrinkToFit="0" vertical="bottom" wrapText="0"/>
    </xf>
    <xf borderId="4" fillId="33" fontId="12" numFmtId="0" xfId="0" applyAlignment="1" applyBorder="1" applyFont="1">
      <alignment shrinkToFit="0" vertical="bottom" wrapText="0"/>
    </xf>
    <xf borderId="0" fillId="13" fontId="9" numFmtId="0" xfId="0" applyAlignment="1" applyFont="1">
      <alignment shrinkToFit="0" vertical="bottom" wrapText="0"/>
    </xf>
    <xf borderId="0" fillId="13" fontId="9" numFmtId="165" xfId="0" applyAlignment="1" applyFont="1" applyNumberFormat="1">
      <alignment horizontal="right" shrinkToFit="0" vertical="bottom" wrapText="0"/>
    </xf>
    <xf borderId="0" fillId="13" fontId="46" numFmtId="165" xfId="0" applyAlignment="1" applyFont="1" applyNumberFormat="1">
      <alignment shrinkToFit="0" vertical="bottom" wrapText="0"/>
    </xf>
    <xf borderId="0" fillId="0" fontId="47" numFmtId="0" xfId="0" applyFont="1"/>
    <xf borderId="4" fillId="31" fontId="18" numFmtId="0" xfId="0" applyAlignment="1" applyBorder="1" applyFont="1">
      <alignment readingOrder="0" shrinkToFit="0" vertical="bottom" wrapText="0"/>
    </xf>
    <xf borderId="12" fillId="31" fontId="18" numFmtId="165" xfId="0" applyAlignment="1" applyBorder="1" applyFont="1" applyNumberFormat="1">
      <alignment horizontal="right" readingOrder="0" shrinkToFit="0" vertical="bottom" wrapText="0"/>
    </xf>
    <xf borderId="4" fillId="31" fontId="10" numFmtId="165" xfId="0" applyAlignment="1" applyBorder="1" applyFont="1" applyNumberFormat="1">
      <alignment shrinkToFit="0" vertical="bottom" wrapText="0"/>
    </xf>
    <xf borderId="4" fillId="31" fontId="4" numFmtId="0" xfId="0" applyAlignment="1" applyBorder="1" applyFont="1">
      <alignment readingOrder="0" vertical="bottom"/>
    </xf>
    <xf borderId="12" fillId="31" fontId="4" numFmtId="165" xfId="0" applyAlignment="1" applyBorder="1" applyFont="1" applyNumberFormat="1">
      <alignment horizontal="right" vertical="bottom"/>
    </xf>
    <xf borderId="4" fillId="31" fontId="4" numFmtId="165" xfId="0" applyAlignment="1" applyBorder="1" applyFont="1" applyNumberFormat="1">
      <alignment horizontal="right" vertical="bottom"/>
    </xf>
    <xf borderId="12" fillId="31" fontId="9" numFmtId="165" xfId="0" applyAlignment="1" applyBorder="1" applyFont="1" applyNumberFormat="1">
      <alignment horizontal="right" readingOrder="0" shrinkToFit="0" vertical="bottom" wrapText="0"/>
    </xf>
    <xf borderId="4" fillId="31" fontId="48" numFmtId="165" xfId="0" applyAlignment="1" applyBorder="1" applyFont="1" applyNumberFormat="1">
      <alignment shrinkToFit="0" vertical="bottom" wrapText="0"/>
    </xf>
    <xf borderId="18" fillId="30" fontId="9" numFmtId="165" xfId="0" applyAlignment="1" applyBorder="1" applyFont="1" applyNumberFormat="1">
      <alignment horizontal="right" readingOrder="0" shrinkToFit="0" vertical="bottom" wrapText="0"/>
    </xf>
    <xf borderId="11" fillId="30" fontId="9" numFmtId="0" xfId="0" applyAlignment="1" applyBorder="1" applyFont="1">
      <alignment readingOrder="0" shrinkToFit="0" vertical="bottom" wrapText="0"/>
    </xf>
    <xf borderId="16" fillId="30" fontId="9" numFmtId="165" xfId="0" applyAlignment="1" applyBorder="1" applyFont="1" applyNumberFormat="1">
      <alignment horizontal="right" readingOrder="0" shrinkToFit="0" vertical="bottom" wrapText="0"/>
    </xf>
    <xf borderId="4" fillId="30" fontId="9" numFmtId="165" xfId="0" applyAlignment="1" applyBorder="1" applyFont="1" applyNumberFormat="1">
      <alignment horizontal="right" readingOrder="0" shrinkToFit="0" vertical="bottom" wrapText="0"/>
    </xf>
    <xf borderId="4" fillId="5" fontId="49" numFmtId="0" xfId="0" applyAlignment="1" applyBorder="1" applyFont="1">
      <alignment horizontal="center" readingOrder="0"/>
    </xf>
    <xf borderId="6" fillId="30" fontId="9" numFmtId="165" xfId="0" applyAlignment="1" applyBorder="1" applyFont="1" applyNumberFormat="1">
      <alignment horizontal="right" readingOrder="0" shrinkToFit="0" vertical="bottom" wrapText="0"/>
    </xf>
    <xf borderId="6" fillId="30" fontId="7" numFmtId="0" xfId="0" applyAlignment="1" applyBorder="1" applyFont="1">
      <alignment horizontal="center" readingOrder="0" shrinkToFit="0" vertical="center" wrapText="0"/>
    </xf>
    <xf borderId="8" fillId="30" fontId="7" numFmtId="0" xfId="0" applyAlignment="1" applyBorder="1" applyFont="1">
      <alignment horizontal="center" readingOrder="0" shrinkToFit="0" vertical="center" wrapText="0"/>
    </xf>
    <xf borderId="6" fillId="30" fontId="9" numFmtId="0" xfId="0" applyAlignment="1" applyBorder="1" applyFont="1">
      <alignment readingOrder="0" shrinkToFit="0" vertical="bottom" wrapText="0"/>
    </xf>
    <xf borderId="8" fillId="30" fontId="9" numFmtId="165" xfId="0" applyAlignment="1" applyBorder="1" applyFont="1" applyNumberFormat="1">
      <alignment horizontal="right" readingOrder="0" shrinkToFit="0" vertical="bottom" wrapText="0"/>
    </xf>
    <xf borderId="4" fillId="5" fontId="50" numFmtId="0" xfId="0" applyAlignment="1" applyBorder="1" applyFont="1">
      <alignment horizontal="center" readingOrder="0"/>
    </xf>
    <xf borderId="4" fillId="5" fontId="51" numFmtId="0" xfId="0" applyAlignment="1" applyBorder="1" applyFont="1">
      <alignment readingOrder="0"/>
    </xf>
    <xf borderId="4" fillId="3" fontId="50" numFmtId="0" xfId="0" applyAlignment="1" applyBorder="1" applyFont="1">
      <alignment horizontal="center" readingOrder="0"/>
    </xf>
    <xf borderId="4" fillId="3" fontId="51" numFmtId="0" xfId="0" applyAlignment="1" applyBorder="1" applyFont="1">
      <alignment readingOrder="0"/>
    </xf>
    <xf borderId="6" fillId="30" fontId="7" numFmtId="0" xfId="0" applyAlignment="1" applyBorder="1" applyFont="1">
      <alignment horizontal="center" shrinkToFit="0" vertical="center" wrapText="0"/>
    </xf>
    <xf borderId="8" fillId="30" fontId="7" numFmtId="0" xfId="0" applyAlignment="1" applyBorder="1" applyFont="1">
      <alignment horizontal="center" shrinkToFit="0" vertical="center" wrapText="0"/>
    </xf>
    <xf borderId="4" fillId="30" fontId="9" numFmtId="0" xfId="0" applyAlignment="1" applyBorder="1" applyFont="1">
      <alignment horizontal="left" shrinkToFit="0" vertical="center" wrapText="0"/>
    </xf>
    <xf borderId="4" fillId="30" fontId="9" numFmtId="0" xfId="0" applyAlignment="1" applyBorder="1" applyFont="1">
      <alignment horizontal="left" shrinkToFit="0" vertical="bottom" wrapText="0"/>
    </xf>
    <xf borderId="4" fillId="30" fontId="9" numFmtId="165" xfId="0" applyAlignment="1" applyBorder="1" applyFont="1" applyNumberFormat="1">
      <alignment horizontal="right" shrinkToFit="0" vertical="bottom" wrapText="0"/>
    </xf>
    <xf borderId="4" fillId="3" fontId="14" numFmtId="0" xfId="0" applyAlignment="1" applyBorder="1" applyFont="1">
      <alignment readingOrder="0"/>
    </xf>
    <xf borderId="4" fillId="30" fontId="9" numFmtId="169" xfId="0" applyAlignment="1" applyBorder="1" applyFont="1" applyNumberFormat="1">
      <alignment readingOrder="0" shrinkToFit="0" vertical="bottom" wrapText="0"/>
    </xf>
    <xf borderId="6" fillId="34" fontId="22" numFmtId="0" xfId="0" applyAlignment="1" applyBorder="1" applyFill="1" applyFont="1">
      <alignment horizontal="center" shrinkToFit="0" vertical="center" wrapText="0"/>
    </xf>
    <xf borderId="6" fillId="34" fontId="7" numFmtId="0" xfId="0" applyAlignment="1" applyBorder="1" applyFont="1">
      <alignment horizontal="center" shrinkToFit="0" vertical="center" wrapText="0"/>
    </xf>
    <xf borderId="4" fillId="34" fontId="9" numFmtId="0" xfId="0" applyAlignment="1" applyBorder="1" applyFont="1">
      <alignment readingOrder="0" shrinkToFit="0" vertical="bottom" wrapText="0"/>
    </xf>
    <xf borderId="12" fillId="34" fontId="9" numFmtId="165" xfId="0" applyAlignment="1" applyBorder="1" applyFont="1" applyNumberFormat="1">
      <alignment horizontal="right" shrinkToFit="0" vertical="bottom" wrapText="0"/>
    </xf>
    <xf borderId="4" fillId="34" fontId="10" numFmtId="165" xfId="0" applyAlignment="1" applyBorder="1" applyFont="1" applyNumberFormat="1">
      <alignment shrinkToFit="0" vertical="bottom" wrapText="0"/>
    </xf>
    <xf borderId="12" fillId="34" fontId="9" numFmtId="165" xfId="0" applyAlignment="1" applyBorder="1" applyFont="1" applyNumberFormat="1">
      <alignment horizontal="right" readingOrder="0" shrinkToFit="0" vertical="bottom" wrapText="0"/>
    </xf>
    <xf borderId="4" fillId="34" fontId="9" numFmtId="0" xfId="0" applyAlignment="1" applyBorder="1" applyFont="1">
      <alignment shrinkToFit="0" vertical="bottom" wrapText="0"/>
    </xf>
    <xf borderId="6" fillId="34" fontId="9" numFmtId="165" xfId="0" applyAlignment="1" applyBorder="1" applyFont="1" applyNumberFormat="1">
      <alignment horizontal="right" readingOrder="0" shrinkToFit="0" vertical="bottom" wrapText="0"/>
    </xf>
    <xf borderId="6" fillId="34" fontId="7" numFmtId="0" xfId="0" applyAlignment="1" applyBorder="1" applyFont="1">
      <alignment horizontal="center" readingOrder="0" shrinkToFit="0" vertical="center" wrapText="0"/>
    </xf>
    <xf borderId="6" fillId="26" fontId="22" numFmtId="0" xfId="0" applyAlignment="1" applyBorder="1" applyFont="1">
      <alignment horizontal="center" shrinkToFit="0" vertical="center" wrapText="0"/>
    </xf>
    <xf borderId="6" fillId="26" fontId="7" numFmtId="0" xfId="0" applyAlignment="1" applyBorder="1" applyFont="1">
      <alignment horizontal="center" shrinkToFit="0" vertical="center" wrapText="0"/>
    </xf>
    <xf borderId="4" fillId="26" fontId="9" numFmtId="0" xfId="0" applyAlignment="1" applyBorder="1" applyFont="1">
      <alignment shrinkToFit="0" vertical="bottom" wrapText="0"/>
    </xf>
    <xf borderId="12" fillId="26" fontId="9" numFmtId="165" xfId="0" applyAlignment="1" applyBorder="1" applyFont="1" applyNumberFormat="1">
      <alignment horizontal="right" shrinkToFit="0" vertical="bottom" wrapText="0"/>
    </xf>
    <xf borderId="4" fillId="26" fontId="10" numFmtId="165" xfId="0" applyAlignment="1" applyBorder="1" applyFont="1" applyNumberFormat="1">
      <alignment shrinkToFit="0" vertical="bottom" wrapText="0"/>
    </xf>
    <xf borderId="4" fillId="26" fontId="9" numFmtId="0" xfId="0" applyAlignment="1" applyBorder="1" applyFont="1">
      <alignment readingOrder="0" shrinkToFit="0" vertical="bottom" wrapText="0"/>
    </xf>
    <xf borderId="12" fillId="26" fontId="9" numFmtId="165" xfId="0" applyAlignment="1" applyBorder="1" applyFont="1" applyNumberFormat="1">
      <alignment horizontal="right" readingOrder="0" shrinkToFit="0" vertical="bottom" wrapText="0"/>
    </xf>
    <xf borderId="6" fillId="26" fontId="9" numFmtId="165" xfId="0" applyAlignment="1" applyBorder="1" applyFont="1" applyNumberForma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4" fillId="3" fontId="39" numFmtId="0" xfId="0" applyAlignment="1" applyBorder="1" applyFont="1">
      <alignment readingOrder="0" vertical="bottom"/>
    </xf>
    <xf borderId="4" fillId="3" fontId="39" numFmtId="0" xfId="0" applyAlignment="1" applyBorder="1" applyFont="1">
      <alignment horizontal="right" vertical="bottom"/>
    </xf>
    <xf borderId="4" fillId="5" fontId="9" numFmtId="0" xfId="0" applyAlignment="1" applyBorder="1" applyFont="1">
      <alignment horizontal="right" readingOrder="0" shrinkToFit="0" vertical="bottom" wrapText="0"/>
    </xf>
    <xf borderId="4" fillId="3" fontId="9" numFmtId="0" xfId="0" applyAlignment="1" applyBorder="1" applyFont="1">
      <alignment horizontal="right" readingOrder="0" shrinkToFit="0" vertical="bottom" wrapText="0"/>
    </xf>
    <xf borderId="4" fillId="26" fontId="9" numFmtId="165" xfId="0" applyAlignment="1" applyBorder="1" applyFont="1" applyNumberFormat="1">
      <alignment horizontal="right" readingOrder="0" shrinkToFit="0" vertical="bottom" wrapText="0"/>
    </xf>
    <xf borderId="0" fillId="35" fontId="52" numFmtId="0" xfId="0" applyAlignment="1" applyFill="1" applyFont="1">
      <alignment horizontal="center" shrinkToFit="0" vertical="center" wrapText="0"/>
    </xf>
    <xf borderId="23" fillId="26" fontId="7" numFmtId="0" xfId="0" applyAlignment="1" applyBorder="1" applyFont="1">
      <alignment horizontal="center" shrinkToFit="0" vertical="center" wrapText="0"/>
    </xf>
    <xf borderId="6" fillId="35" fontId="52" numFmtId="0" xfId="0" applyAlignment="1" applyBorder="1" applyFont="1">
      <alignment horizontal="center" shrinkToFit="0" vertical="center" wrapText="0"/>
    </xf>
    <xf borderId="24" fillId="0" fontId="2" numFmtId="0" xfId="0" applyBorder="1" applyFont="1"/>
    <xf borderId="8" fillId="35" fontId="2" numFmtId="0" xfId="0" applyBorder="1" applyFont="1"/>
    <xf borderId="4" fillId="26" fontId="9" numFmtId="165" xfId="0" applyAlignment="1" applyBorder="1" applyFont="1" applyNumberFormat="1">
      <alignment horizontal="right" shrinkToFit="0" vertical="bottom" wrapText="0"/>
    </xf>
    <xf borderId="10" fillId="35" fontId="2" numFmtId="0" xfId="0" applyBorder="1" applyFont="1"/>
    <xf borderId="4" fillId="36" fontId="10" numFmtId="0" xfId="0" applyAlignment="1" applyBorder="1" applyFill="1" applyFont="1">
      <alignment horizontal="center" readingOrder="0" shrinkToFit="0" vertical="bottom" wrapText="0"/>
    </xf>
    <xf borderId="4" fillId="36" fontId="9" numFmtId="0" xfId="0" applyAlignment="1" applyBorder="1" applyFont="1">
      <alignment shrinkToFit="0" vertical="bottom" wrapText="0"/>
    </xf>
    <xf borderId="4" fillId="36" fontId="9" numFmtId="166" xfId="0" applyAlignment="1" applyBorder="1" applyFont="1" applyNumberFormat="1">
      <alignment horizontal="right" readingOrder="0" shrinkToFit="0" vertical="bottom" wrapText="0"/>
    </xf>
    <xf borderId="4" fillId="36" fontId="18" numFmtId="166" xfId="0" applyAlignment="1" applyBorder="1" applyFont="1" applyNumberFormat="1">
      <alignment horizontal="right" shrinkToFit="0" vertical="bottom" wrapText="0"/>
    </xf>
    <xf borderId="4" fillId="36" fontId="9" numFmtId="0" xfId="0" applyAlignment="1" applyBorder="1" applyFont="1">
      <alignment readingOrder="0" shrinkToFit="0" vertical="bottom" wrapText="0"/>
    </xf>
    <xf borderId="0" fillId="26" fontId="7" numFmtId="0" xfId="0" applyAlignment="1" applyFont="1">
      <alignment horizontal="center" readingOrder="0" shrinkToFit="0" vertical="center" wrapText="0"/>
    </xf>
    <xf borderId="0" fillId="31" fontId="14" numFmtId="0" xfId="0" applyFont="1"/>
    <xf borderId="6" fillId="26" fontId="7" numFmtId="0" xfId="0" applyAlignment="1" applyBorder="1" applyFont="1">
      <alignment horizontal="center" readingOrder="0" shrinkToFit="0" vertical="center" wrapText="0"/>
    </xf>
    <xf borderId="0" fillId="26" fontId="9" numFmtId="0" xfId="0" applyAlignment="1" applyFont="1">
      <alignment readingOrder="0" shrinkToFit="0" vertical="bottom" wrapText="0"/>
    </xf>
    <xf borderId="0" fillId="26" fontId="9" numFmtId="165" xfId="0" applyAlignment="1" applyFont="1" applyNumberFormat="1">
      <alignment horizontal="right" readingOrder="0" shrinkToFit="0" vertical="bottom" wrapText="0"/>
    </xf>
    <xf borderId="0" fillId="24" fontId="52" numFmtId="0" xfId="0" applyAlignment="1" applyFont="1">
      <alignment horizontal="center" shrinkToFit="0" vertical="center" wrapText="0"/>
    </xf>
    <xf borderId="6" fillId="24" fontId="52" numFmtId="0" xfId="0" applyAlignment="1" applyBorder="1" applyFont="1">
      <alignment horizontal="center" shrinkToFit="0" vertical="center" wrapText="0"/>
    </xf>
    <xf borderId="0" fillId="0" fontId="53" numFmtId="0" xfId="0" applyAlignment="1" applyFont="1">
      <alignment shrinkToFit="0" vertical="bottom" wrapText="0"/>
    </xf>
    <xf borderId="4" fillId="25" fontId="10" numFmtId="0" xfId="0" applyAlignment="1" applyBorder="1" applyFont="1">
      <alignment horizontal="center" readingOrder="0" shrinkToFit="0" vertical="bottom" wrapText="0"/>
    </xf>
    <xf borderId="4" fillId="25" fontId="9" numFmtId="166" xfId="0" applyAlignment="1" applyBorder="1" applyFont="1" applyNumberFormat="1">
      <alignment horizontal="right" shrinkToFit="0" vertical="bottom" wrapText="0"/>
    </xf>
    <xf borderId="4" fillId="25" fontId="18" numFmtId="166" xfId="0" applyAlignment="1" applyBorder="1" applyFont="1" applyNumberFormat="1">
      <alignment horizontal="right" shrinkToFit="0" vertical="bottom" wrapText="0"/>
    </xf>
    <xf borderId="0" fillId="20" fontId="45" numFmtId="0" xfId="0" applyAlignment="1" applyFont="1">
      <alignment horizontal="center" shrinkToFit="0" vertical="center" wrapText="0"/>
    </xf>
    <xf borderId="6" fillId="20" fontId="45" numFmtId="0" xfId="0" applyAlignment="1" applyBorder="1" applyFont="1">
      <alignment horizontal="center" shrinkToFit="0" vertical="center" wrapText="0"/>
    </xf>
    <xf borderId="23" fillId="37" fontId="22" numFmtId="0" xfId="0" applyAlignment="1" applyBorder="1" applyFill="1" applyFont="1">
      <alignment horizontal="center" shrinkToFit="0" vertical="center" wrapText="0"/>
    </xf>
    <xf borderId="4" fillId="21" fontId="10" numFmtId="0" xfId="0" applyAlignment="1" applyBorder="1" applyFont="1">
      <alignment horizontal="center" readingOrder="0" shrinkToFit="0" vertical="bottom" wrapText="0"/>
    </xf>
    <xf borderId="6" fillId="37" fontId="7" numFmtId="0" xfId="0" applyAlignment="1" applyBorder="1" applyFont="1">
      <alignment horizontal="center" shrinkToFit="0" vertical="center" wrapText="0"/>
    </xf>
    <xf borderId="4" fillId="21" fontId="9" numFmtId="0" xfId="0" applyAlignment="1" applyBorder="1" applyFont="1">
      <alignment shrinkToFit="0" vertical="bottom" wrapText="0"/>
    </xf>
    <xf borderId="4" fillId="37" fontId="12" numFmtId="0" xfId="0" applyAlignment="1" applyBorder="1" applyFont="1">
      <alignment readingOrder="0" shrinkToFit="0" vertical="bottom" wrapText="0"/>
    </xf>
    <xf borderId="4" fillId="37" fontId="9" numFmtId="165" xfId="0" applyAlignment="1" applyBorder="1" applyFont="1" applyNumberFormat="1">
      <alignment horizontal="right" readingOrder="0" shrinkToFit="0" vertical="bottom" wrapText="0"/>
    </xf>
    <xf borderId="4" fillId="37" fontId="9" numFmtId="165" xfId="0" applyAlignment="1" applyBorder="1" applyFont="1" applyNumberFormat="1">
      <alignment horizontal="right" shrinkToFit="0" vertical="bottom" wrapText="0"/>
    </xf>
    <xf borderId="4" fillId="37" fontId="12" numFmtId="0" xfId="0" applyAlignment="1" applyBorder="1" applyFont="1">
      <alignment shrinkToFit="0" vertical="bottom" wrapText="0"/>
    </xf>
    <xf borderId="4" fillId="21" fontId="9" numFmtId="166" xfId="0" applyAlignment="1" applyBorder="1" applyFont="1" applyNumberFormat="1">
      <alignment horizontal="right" readingOrder="0" shrinkToFit="0" vertical="bottom" wrapText="0"/>
    </xf>
    <xf borderId="4" fillId="21" fontId="18" numFmtId="166" xfId="0" applyAlignment="1" applyBorder="1" applyFont="1" applyNumberFormat="1">
      <alignment horizontal="right" shrinkToFit="0" vertical="bottom" wrapText="0"/>
    </xf>
    <xf borderId="4" fillId="37" fontId="54" numFmtId="0" xfId="0" applyAlignment="1" applyBorder="1" applyFont="1">
      <alignment readingOrder="0" shrinkToFit="0" vertical="bottom" wrapText="0"/>
    </xf>
    <xf borderId="4" fillId="21" fontId="9" numFmtId="0" xfId="0" applyAlignment="1" applyBorder="1" applyFont="1">
      <alignment readingOrder="0" shrinkToFit="0" vertical="bottom" wrapText="0"/>
    </xf>
    <xf borderId="4" fillId="37" fontId="55" numFmtId="0" xfId="0" applyAlignment="1" applyBorder="1" applyFont="1">
      <alignment readingOrder="0" shrinkToFit="0" vertical="bottom" wrapText="0"/>
    </xf>
    <xf borderId="0" fillId="21" fontId="11" numFmtId="0" xfId="0" applyAlignment="1" applyFont="1">
      <alignment readingOrder="0"/>
    </xf>
    <xf borderId="6" fillId="37" fontId="7" numFmtId="0" xfId="0" applyAlignment="1" applyBorder="1" applyFont="1">
      <alignment horizontal="center" readingOrder="0" shrinkToFit="0" vertical="center" wrapText="0"/>
    </xf>
    <xf borderId="4" fillId="21" fontId="40" numFmtId="0" xfId="0" applyAlignment="1" applyBorder="1" applyFont="1">
      <alignment readingOrder="0" shrinkToFit="0" vertical="bottom" wrapText="0"/>
    </xf>
    <xf borderId="4" fillId="5" fontId="40" numFmtId="0" xfId="0" applyAlignment="1" applyBorder="1" applyFont="1">
      <alignment readingOrder="0" shrinkToFit="0" vertical="bottom" wrapText="0"/>
    </xf>
    <xf borderId="4" fillId="37" fontId="40" numFmtId="0" xfId="0" applyAlignment="1" applyBorder="1" applyFont="1">
      <alignment horizontal="left" readingOrder="0" shrinkToFit="0" vertical="center" wrapText="0"/>
    </xf>
    <xf borderId="4" fillId="37" fontId="40" numFmtId="165" xfId="0" applyAlignment="1" applyBorder="1" applyFont="1" applyNumberFormat="1">
      <alignment horizontal="right" readingOrder="0" shrinkToFit="0" vertical="bottom" wrapText="0"/>
    </xf>
    <xf borderId="4" fillId="37" fontId="40" numFmtId="165" xfId="0" applyAlignment="1" applyBorder="1" applyFont="1" applyNumberFormat="1">
      <alignment horizontal="right" shrinkToFit="0" vertical="bottom" wrapText="0"/>
    </xf>
    <xf borderId="6" fillId="37" fontId="22" numFmtId="0" xfId="0" applyAlignment="1" applyBorder="1" applyFont="1">
      <alignment horizontal="center" readingOrder="0" shrinkToFit="0" vertical="center" wrapText="0"/>
    </xf>
    <xf borderId="8" fillId="37" fontId="22" numFmtId="0" xfId="0" applyAlignment="1" applyBorder="1" applyFont="1">
      <alignment horizontal="center" readingOrder="0" shrinkToFit="0" vertical="center" wrapText="0"/>
    </xf>
    <xf borderId="25" fillId="29" fontId="22" numFmtId="0" xfId="0" applyAlignment="1" applyBorder="1" applyFon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28" fillId="29" fontId="7" numFmtId="0" xfId="0" applyAlignment="1" applyBorder="1" applyFont="1">
      <alignment horizontal="center" readingOrder="0" shrinkToFit="0" vertical="center" wrapText="0"/>
    </xf>
    <xf borderId="29" fillId="0" fontId="2" numFmtId="0" xfId="0" applyBorder="1" applyFont="1"/>
    <xf borderId="30" fillId="0" fontId="2" numFmtId="0" xfId="0" applyBorder="1" applyFont="1"/>
    <xf borderId="4" fillId="29" fontId="10" numFmtId="0" xfId="0" applyAlignment="1" applyBorder="1" applyFont="1">
      <alignment readingOrder="0" shrinkToFit="0" vertical="bottom" wrapText="0"/>
    </xf>
    <xf borderId="4" fillId="29" fontId="18" numFmtId="165" xfId="0" applyAlignment="1" applyBorder="1" applyFont="1" applyNumberFormat="1">
      <alignment horizontal="right" readingOrder="0" shrinkToFit="0" vertical="bottom" wrapText="0"/>
    </xf>
    <xf borderId="4" fillId="29" fontId="18" numFmtId="165" xfId="0" applyAlignment="1" applyBorder="1" applyFont="1" applyNumberFormat="1">
      <alignment horizontal="right" shrinkToFit="0" vertical="bottom" wrapText="0"/>
    </xf>
    <xf borderId="23" fillId="29" fontId="7" numFmtId="0" xfId="0" applyAlignment="1" applyBorder="1" applyFont="1">
      <alignment horizontal="center" shrinkToFit="0" vertical="center" wrapText="0"/>
    </xf>
    <xf borderId="0" fillId="21" fontId="9" numFmtId="0" xfId="0" applyAlignment="1" applyFont="1">
      <alignment readingOrder="0" shrinkToFit="0" vertical="bottom" wrapText="0"/>
    </xf>
    <xf borderId="6" fillId="29" fontId="7" numFmtId="0" xfId="0" applyAlignment="1" applyBorder="1" applyFont="1">
      <alignment horizontal="center" readingOrder="0" shrinkToFit="0" vertical="center" wrapText="0"/>
    </xf>
    <xf borderId="0" fillId="32" fontId="52" numFmtId="0" xfId="0" applyAlignment="1" applyFont="1">
      <alignment horizontal="center" shrinkToFit="0" vertical="center" wrapText="0"/>
    </xf>
    <xf borderId="4" fillId="29" fontId="56" numFmtId="0" xfId="0" applyAlignment="1" applyBorder="1" applyFont="1">
      <alignment readingOrder="0"/>
    </xf>
    <xf borderId="6" fillId="32" fontId="52" numFmtId="0" xfId="0" applyAlignment="1" applyBorder="1" applyFont="1">
      <alignment horizontal="center" shrinkToFit="0" vertical="center" wrapText="0"/>
    </xf>
    <xf borderId="4" fillId="29" fontId="47" numFmtId="0" xfId="0" applyBorder="1" applyFont="1"/>
    <xf borderId="4" fillId="38" fontId="10" numFmtId="0" xfId="0" applyAlignment="1" applyBorder="1" applyFill="1" applyFont="1">
      <alignment horizontal="center" readingOrder="0" shrinkToFit="0" vertical="bottom" wrapText="0"/>
    </xf>
    <xf borderId="4" fillId="38" fontId="9" numFmtId="0" xfId="0" applyAlignment="1" applyBorder="1" applyFont="1">
      <alignment readingOrder="0" shrinkToFit="0" vertical="bottom" wrapText="0"/>
    </xf>
    <xf borderId="4" fillId="38" fontId="9" numFmtId="166" xfId="0" applyAlignment="1" applyBorder="1" applyFont="1" applyNumberFormat="1">
      <alignment horizontal="right" readingOrder="0" shrinkToFit="0" vertical="bottom" wrapText="0"/>
    </xf>
    <xf borderId="4" fillId="38" fontId="18" numFmtId="166" xfId="0" applyAlignment="1" applyBorder="1" applyFont="1" applyNumberFormat="1">
      <alignment horizontal="right" shrinkToFit="0" vertical="bottom" wrapText="0"/>
    </xf>
    <xf borderId="4" fillId="38" fontId="18" numFmtId="166" xfId="0" applyAlignment="1" applyBorder="1" applyFont="1" applyNumberFormat="1">
      <alignment horizontal="right" readingOrder="0" shrinkToFit="0" vertical="bottom" wrapText="0"/>
    </xf>
    <xf borderId="6" fillId="38" fontId="57" numFmtId="0" xfId="0" applyAlignment="1" applyBorder="1" applyFont="1">
      <alignment horizontal="center" readingOrder="0"/>
    </xf>
    <xf borderId="8" fillId="38" fontId="57" numFmtId="0" xfId="0" applyAlignment="1" applyBorder="1" applyFont="1">
      <alignment horizontal="center" readingOrder="0"/>
    </xf>
    <xf borderId="4" fillId="38" fontId="9" numFmtId="165" xfId="0" applyAlignment="1" applyBorder="1" applyFont="1" applyNumberFormat="1">
      <alignment horizontal="right" shrinkToFit="0" vertical="bottom" wrapText="0"/>
    </xf>
    <xf borderId="6" fillId="38" fontId="56" numFmtId="0" xfId="0" applyAlignment="1" applyBorder="1" applyFont="1">
      <alignment horizontal="center" readingOrder="0"/>
    </xf>
    <xf borderId="8" fillId="38" fontId="56" numFmtId="0" xfId="0" applyAlignment="1" applyBorder="1" applyFont="1">
      <alignment horizontal="center" readingOrder="0"/>
    </xf>
    <xf borderId="4" fillId="38" fontId="56" numFmtId="0" xfId="0" applyAlignment="1" applyBorder="1" applyFont="1">
      <alignment readingOrder="0"/>
    </xf>
    <xf borderId="4" fillId="38" fontId="18" numFmtId="165" xfId="0" applyAlignment="1" applyBorder="1" applyFont="1" applyNumberFormat="1">
      <alignment horizontal="right" readingOrder="0" shrinkToFit="0" vertical="bottom" wrapText="0"/>
    </xf>
    <xf borderId="6" fillId="32" fontId="56" numFmtId="0" xfId="0" applyAlignment="1" applyBorder="1" applyFont="1">
      <alignment horizontal="center" readingOrder="0"/>
    </xf>
    <xf borderId="4" fillId="5" fontId="56" numFmtId="0" xfId="0" applyAlignment="1" applyBorder="1" applyFont="1">
      <alignment readingOrder="0"/>
    </xf>
    <xf borderId="4" fillId="33" fontId="56" numFmtId="0" xfId="0" applyAlignment="1" applyBorder="1" applyFont="1">
      <alignment readingOrder="0"/>
    </xf>
    <xf borderId="4" fillId="33" fontId="18" numFmtId="165" xfId="0" applyAlignment="1" applyBorder="1" applyFont="1" applyNumberFormat="1">
      <alignment horizontal="right" readingOrder="0" shrinkToFit="0" vertical="bottom" wrapText="0"/>
    </xf>
    <xf borderId="4" fillId="38" fontId="9" numFmtId="0" xfId="0" applyAlignment="1" applyBorder="1" applyFont="1">
      <alignment shrinkToFit="0" vertical="bottom" wrapText="0"/>
    </xf>
    <xf borderId="4" fillId="33" fontId="58" numFmtId="0" xfId="0" applyAlignment="1" applyBorder="1" applyFont="1">
      <alignment readingOrder="0"/>
    </xf>
    <xf borderId="4" fillId="5" fontId="58" numFmtId="0" xfId="0" applyAlignment="1" applyBorder="1" applyFont="1">
      <alignment readingOrder="0"/>
    </xf>
    <xf borderId="4" fillId="5" fontId="59" numFmtId="165" xfId="0" applyAlignment="1" applyBorder="1" applyFont="1" applyNumberFormat="1">
      <alignment horizontal="right" readingOrder="0" shrinkToFit="0" vertical="bottom" wrapText="0"/>
    </xf>
    <xf borderId="6" fillId="5" fontId="60" numFmtId="0" xfId="0" applyAlignment="1" applyBorder="1" applyFont="1">
      <alignment horizontal="center" readingOrder="0" vertical="center"/>
    </xf>
    <xf borderId="0" fillId="0" fontId="61" numFmtId="0" xfId="0" applyFont="1"/>
    <xf borderId="4" fillId="33" fontId="62" numFmtId="0" xfId="0" applyAlignment="1" applyBorder="1" applyFont="1">
      <alignment readingOrder="0"/>
    </xf>
    <xf borderId="4" fillId="33" fontId="63" numFmtId="165" xfId="0" applyAlignment="1" applyBorder="1" applyFont="1" applyNumberFormat="1">
      <alignment horizontal="right" readingOrder="0" shrinkToFit="0" vertical="bottom" wrapText="0"/>
    </xf>
    <xf borderId="4" fillId="5" fontId="62" numFmtId="0" xfId="0" applyAlignment="1" applyBorder="1" applyFont="1">
      <alignment readingOrder="0"/>
    </xf>
    <xf borderId="4" fillId="5" fontId="63" numFmtId="165" xfId="0" applyAlignment="1" applyBorder="1" applyFont="1" applyNumberFormat="1">
      <alignment horizontal="right" readingOrder="0" shrinkToFit="0" vertical="bottom" wrapText="0"/>
    </xf>
    <xf borderId="4" fillId="33" fontId="64" numFmtId="0" xfId="0" applyAlignment="1" applyBorder="1" applyFont="1">
      <alignment readingOrder="0"/>
    </xf>
    <xf borderId="4" fillId="33" fontId="59" numFmtId="165" xfId="0" applyAlignment="1" applyBorder="1" applyFont="1" applyNumberFormat="1">
      <alignment horizontal="right" readingOrder="0" shrinkToFit="0" vertical="bottom" wrapText="0"/>
    </xf>
    <xf borderId="4" fillId="5" fontId="64" numFmtId="0" xfId="0" applyAlignment="1" applyBorder="1" applyFont="1">
      <alignment readingOrder="0"/>
    </xf>
    <xf borderId="4" fillId="39" fontId="18" numFmtId="166" xfId="0" applyAlignment="1" applyBorder="1" applyFill="1" applyFont="1" applyNumberFormat="1">
      <alignment horizontal="right" readingOrder="0" shrinkToFit="0" vertical="bottom" wrapText="0"/>
    </xf>
    <xf borderId="0" fillId="5" fontId="18" numFmtId="166" xfId="0" applyAlignment="1" applyFont="1" applyNumberFormat="1">
      <alignment horizontal="right" readingOrder="0" shrinkToFit="0" vertical="bottom" wrapText="0"/>
    </xf>
    <xf borderId="4" fillId="33" fontId="65" numFmtId="0" xfId="0" applyAlignment="1" applyBorder="1" applyFont="1">
      <alignment readingOrder="0"/>
    </xf>
    <xf borderId="4" fillId="5" fontId="66" numFmtId="0" xfId="0" applyAlignment="1" applyBorder="1" applyFont="1">
      <alignment readingOrder="0"/>
    </xf>
    <xf borderId="4" fillId="5" fontId="67" numFmtId="165" xfId="0" applyAlignment="1" applyBorder="1" applyFont="1" applyNumberFormat="1">
      <alignment horizontal="right" readingOrder="0" shrinkToFit="0" vertical="bottom" wrapText="0"/>
    </xf>
    <xf borderId="4" fillId="33" fontId="66" numFmtId="0" xfId="0" applyAlignment="1" applyBorder="1" applyFont="1">
      <alignment readingOrder="0"/>
    </xf>
    <xf borderId="4" fillId="33" fontId="67" numFmtId="165" xfId="0" applyAlignment="1" applyBorder="1" applyFont="1" applyNumberFormat="1">
      <alignment horizontal="right" readingOrder="0" shrinkToFit="0" vertical="bottom" wrapText="0"/>
    </xf>
    <xf borderId="4" fillId="5" fontId="68" numFmtId="0" xfId="0" applyAlignment="1" applyBorder="1" applyFont="1">
      <alignment readingOrder="0"/>
    </xf>
    <xf borderId="4" fillId="5" fontId="69" numFmtId="165" xfId="0" applyAlignment="1" applyBorder="1" applyFont="1" applyNumberFormat="1">
      <alignment horizontal="right" readingOrder="0" shrinkToFit="0" vertical="bottom" wrapText="0"/>
    </xf>
    <xf borderId="4" fillId="33" fontId="68" numFmtId="0" xfId="0" applyAlignment="1" applyBorder="1" applyFont="1">
      <alignment readingOrder="0"/>
    </xf>
    <xf borderId="4" fillId="33" fontId="69" numFmtId="165" xfId="0" applyAlignment="1" applyBorder="1" applyFont="1" applyNumberFormat="1">
      <alignment horizontal="right" readingOrder="0" shrinkToFit="0" vertical="bottom" wrapText="0"/>
    </xf>
    <xf borderId="0" fillId="34" fontId="52" numFmtId="0" xfId="0" applyAlignment="1" applyFont="1">
      <alignment horizontal="center" shrinkToFit="0" vertical="center" wrapText="0"/>
    </xf>
    <xf borderId="6" fillId="34" fontId="52" numFmtId="0" xfId="0" applyAlignment="1" applyBorder="1" applyFont="1">
      <alignment horizontal="center" shrinkToFit="0" vertical="center" wrapText="0"/>
    </xf>
    <xf borderId="8" fillId="34" fontId="2" numFmtId="0" xfId="0" applyBorder="1" applyFont="1"/>
    <xf borderId="10" fillId="34" fontId="2" numFmtId="0" xfId="0" applyBorder="1" applyFont="1"/>
    <xf borderId="4" fillId="7" fontId="10" numFmtId="0" xfId="0" applyAlignment="1" applyBorder="1" applyFont="1">
      <alignment horizontal="center" readingOrder="0" shrinkToFit="0" vertical="bottom" wrapText="0"/>
    </xf>
    <xf borderId="4" fillId="7" fontId="9" numFmtId="0" xfId="0" applyAlignment="1" applyBorder="1" applyFont="1">
      <alignment shrinkToFit="0" vertical="bottom" wrapText="0"/>
    </xf>
    <xf borderId="4" fillId="7" fontId="9" numFmtId="166" xfId="0" applyAlignment="1" applyBorder="1" applyFont="1" applyNumberFormat="1">
      <alignment horizontal="right" readingOrder="0" shrinkToFit="0" vertical="bottom" wrapText="0"/>
    </xf>
    <xf borderId="4" fillId="7" fontId="18" numFmtId="166" xfId="0" applyAlignment="1" applyBorder="1" applyFont="1" applyNumberFormat="1">
      <alignment horizontal="right" shrinkToFit="0" vertical="bottom" wrapText="0"/>
    </xf>
    <xf borderId="4" fillId="7" fontId="9" numFmtId="166" xfId="0" applyAlignment="1" applyBorder="1" applyFont="1" applyNumberFormat="1">
      <alignment horizontal="right" shrinkToFit="0" vertical="bottom" wrapText="0"/>
    </xf>
    <xf borderId="0" fillId="22" fontId="1" numFmtId="0" xfId="0" applyAlignment="1" applyFont="1">
      <alignment horizontal="center" shrinkToFit="0" vertical="center" wrapText="0"/>
    </xf>
    <xf borderId="6" fillId="22" fontId="1" numFmtId="0" xfId="0" applyAlignment="1" applyBorder="1" applyFont="1">
      <alignment horizontal="center" shrinkToFit="0" vertical="center" wrapText="0"/>
    </xf>
    <xf borderId="4" fillId="23" fontId="10" numFmtId="0" xfId="0" applyAlignment="1" applyBorder="1" applyFont="1">
      <alignment horizontal="center" readingOrder="0" shrinkToFit="0" vertical="bottom" wrapText="0"/>
    </xf>
    <xf borderId="4" fillId="23" fontId="9" numFmtId="166" xfId="0" applyAlignment="1" applyBorder="1" applyFont="1" applyNumberFormat="1">
      <alignment horizontal="right" readingOrder="0" shrinkToFit="0" vertical="bottom" wrapText="0"/>
    </xf>
    <xf borderId="4" fillId="23" fontId="18" numFmtId="166" xfId="0" applyAlignment="1" applyBorder="1" applyFont="1" applyNumberFormat="1">
      <alignment horizontal="right" readingOrder="0" shrinkToFit="0" vertical="bottom" wrapText="0"/>
    </xf>
    <xf borderId="4" fillId="23" fontId="9" numFmtId="166" xfId="0" applyAlignment="1" applyBorder="1" applyFont="1" applyNumberFormat="1">
      <alignment horizontal="right" shrinkToFit="0" vertical="bottom" wrapText="0"/>
    </xf>
    <xf borderId="4" fillId="23" fontId="18" numFmtId="166" xfId="0" applyAlignment="1" applyBorder="1" applyFont="1" applyNumberFormat="1">
      <alignment horizontal="right" shrinkToFit="0" vertical="bottom" wrapText="0"/>
    </xf>
    <xf borderId="0" fillId="0" fontId="14" numFmtId="169" xfId="0" applyFont="1" applyNumberFormat="1"/>
    <xf borderId="0" fillId="23" fontId="11" numFmtId="0" xfId="0" applyAlignment="1" applyFont="1">
      <alignment readingOrder="0"/>
    </xf>
    <xf borderId="4" fillId="5" fontId="10" numFmtId="170" xfId="0" applyAlignment="1" applyBorder="1" applyFont="1" applyNumberFormat="1">
      <alignment horizontal="center" readingOrder="0" shrinkToFit="0" vertical="bottom" wrapText="0"/>
    </xf>
    <xf borderId="6" fillId="4" fontId="70" numFmtId="0" xfId="0" applyAlignment="1" applyBorder="1" applyFont="1">
      <alignment horizontal="center" readingOrder="0" shrinkToFit="0" vertical="bottom" wrapText="0"/>
    </xf>
    <xf borderId="10" fillId="4" fontId="18" numFmtId="166" xfId="0" applyAlignment="1" applyBorder="1" applyFont="1" applyNumberFormat="1">
      <alignment horizontal="right" shrinkToFit="0" vertical="bottom" wrapText="0"/>
    </xf>
    <xf borderId="4" fillId="10" fontId="10" numFmtId="0" xfId="0" applyAlignment="1" applyBorder="1" applyFont="1">
      <alignment horizontal="center" readingOrder="0" shrinkToFit="0" vertical="bottom" wrapText="0"/>
    </xf>
    <xf borderId="4" fillId="10" fontId="9" numFmtId="0" xfId="0" applyAlignment="1" applyBorder="1" applyFont="1">
      <alignment readingOrder="0" shrinkToFit="0" vertical="bottom" wrapText="0"/>
    </xf>
    <xf borderId="4" fillId="10" fontId="9" numFmtId="166" xfId="0" applyAlignment="1" applyBorder="1" applyFont="1" applyNumberFormat="1">
      <alignment horizontal="right" readingOrder="0" shrinkToFit="0" vertical="bottom" wrapText="0"/>
    </xf>
    <xf borderId="4" fillId="10" fontId="18" numFmtId="166" xfId="0" applyAlignment="1" applyBorder="1" applyFont="1" applyNumberFormat="1">
      <alignment horizontal="right" shrinkToFit="0" vertical="bottom" wrapText="0"/>
    </xf>
    <xf borderId="4" fillId="26" fontId="10" numFmtId="0" xfId="0" applyAlignment="1" applyBorder="1" applyFont="1">
      <alignment horizontal="center" readingOrder="0" shrinkToFit="0" vertical="bottom" wrapText="0"/>
    </xf>
    <xf borderId="4" fillId="26" fontId="9" numFmtId="166" xfId="0" applyAlignment="1" applyBorder="1" applyFont="1" applyNumberFormat="1">
      <alignment horizontal="right" readingOrder="0" shrinkToFit="0" vertical="bottom" wrapText="0"/>
    </xf>
    <xf borderId="4" fillId="26" fontId="18" numFmtId="166" xfId="0" applyAlignment="1" applyBorder="1" applyFont="1" applyNumberFormat="1">
      <alignment horizontal="right" shrinkToFit="0" vertical="bottom" wrapText="0"/>
    </xf>
    <xf borderId="4" fillId="26" fontId="56" numFmtId="0" xfId="0" applyAlignment="1" applyBorder="1" applyFont="1">
      <alignment readingOrder="0"/>
    </xf>
    <xf borderId="0" fillId="5" fontId="71" numFmtId="0" xfId="0" applyAlignment="1" applyFont="1">
      <alignment horizontal="center" readingOrder="0" vertical="center"/>
    </xf>
    <xf borderId="6" fillId="5" fontId="71" numFmtId="0" xfId="0" applyAlignment="1" applyBorder="1" applyFont="1">
      <alignment horizontal="center" readingOrder="0" vertical="center"/>
    </xf>
    <xf borderId="4" fillId="0" fontId="14" numFmtId="0" xfId="0" applyBorder="1" applyFont="1"/>
    <xf borderId="4" fillId="27" fontId="10" numFmtId="0" xfId="0" applyAlignment="1" applyBorder="1" applyFont="1">
      <alignment horizontal="center" readingOrder="0" shrinkToFit="0" vertical="bottom" wrapText="0"/>
    </xf>
    <xf borderId="4" fillId="27" fontId="11" numFmtId="0" xfId="0" applyAlignment="1" applyBorder="1" applyFont="1">
      <alignment readingOrder="0"/>
    </xf>
    <xf borderId="4" fillId="27" fontId="18" numFmtId="166" xfId="0" applyAlignment="1" applyBorder="1" applyFont="1" applyNumberFormat="1">
      <alignment horizontal="right" readingOrder="0" shrinkToFit="0" vertical="bottom" wrapText="0"/>
    </xf>
    <xf borderId="4" fillId="27" fontId="18" numFmtId="166" xfId="0" applyAlignment="1" applyBorder="1" applyFont="1" applyNumberFormat="1">
      <alignment horizontal="right" shrinkToFit="0" vertical="bottom" wrapText="0"/>
    </xf>
    <xf borderId="0" fillId="5" fontId="72" numFmtId="0" xfId="0" applyAlignment="1" applyFont="1">
      <alignment horizontal="center" readingOrder="0" vertical="center"/>
    </xf>
    <xf borderId="6" fillId="5" fontId="72" numFmtId="0" xfId="0" applyAlignment="1" applyBorder="1" applyFont="1">
      <alignment horizontal="center" readingOrder="0" vertical="center"/>
    </xf>
    <xf borderId="4" fillId="40" fontId="10" numFmtId="0" xfId="0" applyAlignment="1" applyBorder="1" applyFill="1" applyFont="1">
      <alignment horizontal="center" readingOrder="0" shrinkToFit="0" vertical="bottom" wrapText="0"/>
    </xf>
    <xf borderId="4" fillId="40" fontId="11" numFmtId="0" xfId="0" applyAlignment="1" applyBorder="1" applyFont="1">
      <alignment readingOrder="0"/>
    </xf>
    <xf borderId="4" fillId="40" fontId="18" numFmtId="166" xfId="0" applyAlignment="1" applyBorder="1" applyFont="1" applyNumberFormat="1">
      <alignment horizontal="right" shrinkToFit="0" vertical="bottom" wrapText="0"/>
    </xf>
    <xf borderId="4" fillId="41" fontId="10" numFmtId="0" xfId="0" applyAlignment="1" applyBorder="1" applyFill="1" applyFont="1">
      <alignment horizontal="center" readingOrder="0" shrinkToFit="0" vertical="bottom" wrapText="0"/>
    </xf>
    <xf borderId="4" fillId="42" fontId="11" numFmtId="0" xfId="0" applyAlignment="1" applyBorder="1" applyFill="1" applyFont="1">
      <alignment readingOrder="0"/>
    </xf>
    <xf borderId="4" fillId="42" fontId="18" numFmtId="166" xfId="0" applyAlignment="1" applyBorder="1" applyFont="1" applyNumberFormat="1">
      <alignment horizontal="right" shrinkToFit="0" vertical="bottom" wrapText="0"/>
    </xf>
    <xf borderId="4" fillId="43" fontId="10" numFmtId="0" xfId="0" applyAlignment="1" applyBorder="1" applyFill="1" applyFont="1">
      <alignment horizontal="center" readingOrder="0" shrinkToFit="0" vertical="bottom" wrapText="0"/>
    </xf>
    <xf borderId="4" fillId="43" fontId="11" numFmtId="0" xfId="0" applyAlignment="1" applyBorder="1" applyFont="1">
      <alignment readingOrder="0"/>
    </xf>
    <xf borderId="4" fillId="43" fontId="18" numFmtId="166" xfId="0" applyAlignment="1" applyBorder="1" applyFont="1" applyNumberFormat="1">
      <alignment horizontal="right" shrinkToFit="0" vertical="bottom" wrapText="0"/>
    </xf>
    <xf borderId="4" fillId="43" fontId="10" numFmtId="0" xfId="0" applyAlignment="1" applyBorder="1" applyFont="1">
      <alignment horizontal="center" readingOrder="0" shrinkToFit="0" vertical="bottom" wrapText="0"/>
    </xf>
    <xf borderId="4" fillId="43" fontId="11" numFmtId="0" xfId="0" applyAlignment="1" applyBorder="1" applyFont="1">
      <alignment readingOrder="0"/>
    </xf>
    <xf borderId="4" fillId="18" fontId="10" numFmtId="0" xfId="0" applyAlignment="1" applyBorder="1" applyFont="1">
      <alignment horizontal="center" readingOrder="0" shrinkToFit="0" vertical="bottom" wrapText="0"/>
    </xf>
    <xf borderId="4" fillId="18" fontId="11" numFmtId="0" xfId="0" applyAlignment="1" applyBorder="1" applyFont="1">
      <alignment readingOrder="0"/>
    </xf>
    <xf borderId="4" fillId="18" fontId="18" numFmtId="166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>
        <b/>
        <sz val="11.0"/>
        <color rgb="FFFFFFFF"/>
        <name val="Aptos Narrow"/>
      </font>
      <fill>
        <patternFill patternType="solid">
          <fgColor rgb="FFFFFF00"/>
          <bgColor rgb="FFFFFF00"/>
        </patternFill>
      </fill>
      <border/>
    </dxf>
    <dxf>
      <font>
        <b/>
        <sz val="11.0"/>
        <color rgb="FFFFFFFF"/>
        <name val="Aptos Narrow"/>
      </font>
      <fill>
        <patternFill patternType="solid">
          <fgColor rgb="FFFF0000"/>
          <bgColor rgb="FFFF0000"/>
        </patternFill>
      </fill>
      <border/>
    </dxf>
    <dxf>
      <font>
        <b/>
        <sz val="11.0"/>
        <color rgb="FF000000"/>
        <name val="Aptos Narrow"/>
      </font>
      <fill>
        <patternFill patternType="solid">
          <fgColor rgb="FF92D050"/>
          <bgColor rgb="FF92D050"/>
        </patternFill>
      </fill>
      <border/>
    </dxf>
    <dxf>
      <font>
        <sz val="11.0"/>
        <color rgb="FF9C0006"/>
        <name val="Aptos Narrow"/>
      </font>
      <fill>
        <patternFill patternType="solid">
          <fgColor rgb="FFFFC7CE"/>
          <bgColor rgb="FFFFC7CE"/>
        </patternFill>
      </fill>
      <border/>
    </dxf>
    <dxf>
      <font>
        <sz val="11.0"/>
        <color rgb="FF006100"/>
        <name val="Aptos Narrow"/>
      </font>
      <fill>
        <patternFill patternType="solid">
          <fgColor rgb="FFC6EFCE"/>
          <bgColor rgb="FFC6EFCE"/>
        </patternFill>
      </fill>
      <border/>
    </dxf>
    <dxf>
      <font>
        <sz val="11.0"/>
        <color rgb="FF9C5700"/>
        <name val="Aptos Narrow"/>
      </font>
      <fill>
        <patternFill patternType="solid">
          <fgColor rgb="FFFFEB9C"/>
          <bgColor rgb="FFFFEB9C"/>
        </patternFill>
      </fill>
      <border/>
    </dxf>
  </dxfs>
  <tableStyles count="4">
    <tableStyle count="3" pivot="0" name="Partes Chicas-style">
      <tableStyleElement dxfId="1" type="headerRow"/>
      <tableStyleElement dxfId="2" type="firstRowStripe"/>
      <tableStyleElement dxfId="3" type="secondRowStripe"/>
    </tableStyle>
    <tableStyle count="3" pivot="0" name="Partes Chicas-style 2">
      <tableStyleElement dxfId="4" type="headerRow"/>
      <tableStyleElement dxfId="2" type="firstRowStripe"/>
      <tableStyleElement dxfId="3" type="secondRowStripe"/>
    </tableStyle>
    <tableStyle count="2" pivot="0" name="Partes Chicas-style 3">
      <tableStyleElement dxfId="2" type="firstRowStripe"/>
      <tableStyleElement dxfId="3" type="secondRowStripe"/>
    </tableStyle>
    <tableStyle count="3" pivot="0" name="Modulos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4.png"/><Relationship Id="rId13" Type="http://schemas.openxmlformats.org/officeDocument/2006/relationships/image" Target="../media/image2.png"/><Relationship Id="rId12" Type="http://schemas.openxmlformats.org/officeDocument/2006/relationships/image" Target="../media/image3.png"/><Relationship Id="rId1" Type="http://schemas.openxmlformats.org/officeDocument/2006/relationships/image" Target="../media/image6.png"/><Relationship Id="rId2" Type="http://schemas.openxmlformats.org/officeDocument/2006/relationships/image" Target="../media/image11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9" Type="http://schemas.openxmlformats.org/officeDocument/2006/relationships/image" Target="../media/image13.png"/><Relationship Id="rId5" Type="http://schemas.openxmlformats.org/officeDocument/2006/relationships/image" Target="../media/image8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1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1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11.png"/><Relationship Id="rId6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</xdr:row>
      <xdr:rowOff>0</xdr:rowOff>
    </xdr:from>
    <xdr:ext cx="304800" cy="266700"/>
    <xdr:sp>
      <xdr:nvSpPr>
        <xdr:cNvPr id="3" name="Shape 3"/>
        <xdr:cNvSpPr/>
      </xdr:nvSpPr>
      <xdr:spPr>
        <a:xfrm>
          <a:off x="5198363" y="3651413"/>
          <a:ext cx="2952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476250</xdr:colOff>
      <xdr:row>435</xdr:row>
      <xdr:rowOff>38100</xdr:rowOff>
    </xdr:from>
    <xdr:ext cx="838200" cy="6381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657225</xdr:colOff>
      <xdr:row>381</xdr:row>
      <xdr:rowOff>76200</xdr:rowOff>
    </xdr:from>
    <xdr:ext cx="838200" cy="63817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</xdr:colOff>
      <xdr:row>493</xdr:row>
      <xdr:rowOff>209550</xdr:rowOff>
    </xdr:from>
    <xdr:ext cx="838200" cy="56197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527</xdr:row>
      <xdr:rowOff>219075</xdr:rowOff>
    </xdr:from>
    <xdr:ext cx="990600" cy="56197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625</xdr:row>
      <xdr:rowOff>76200</xdr:rowOff>
    </xdr:from>
    <xdr:ext cx="742950" cy="46672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624</xdr:row>
      <xdr:rowOff>219075</xdr:rowOff>
    </xdr:from>
    <xdr:ext cx="885825" cy="561975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651</xdr:row>
      <xdr:rowOff>28575</xdr:rowOff>
    </xdr:from>
    <xdr:ext cx="990600" cy="561975"/>
    <xdr:pic>
      <xdr:nvPicPr>
        <xdr:cNvPr id="0" name="image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1457325</xdr:colOff>
      <xdr:row>651</xdr:row>
      <xdr:rowOff>123825</xdr:rowOff>
    </xdr:from>
    <xdr:ext cx="742950" cy="466725"/>
    <xdr:pic>
      <xdr:nvPicPr>
        <xdr:cNvPr id="0" name="image12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667</xdr:row>
      <xdr:rowOff>19050</xdr:rowOff>
    </xdr:from>
    <xdr:ext cx="838200" cy="523875"/>
    <xdr:pic>
      <xdr:nvPicPr>
        <xdr:cNvPr id="0" name="image13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790575</xdr:colOff>
      <xdr:row>177</xdr:row>
      <xdr:rowOff>47625</xdr:rowOff>
    </xdr:from>
    <xdr:ext cx="838200" cy="638175"/>
    <xdr:pic>
      <xdr:nvPicPr>
        <xdr:cNvPr id="0" name="image4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85775" cy="485775"/>
    <xdr:pic>
      <xdr:nvPicPr>
        <xdr:cNvPr id="0" name="image10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352</xdr:row>
      <xdr:rowOff>0</xdr:rowOff>
    </xdr:from>
    <xdr:ext cx="257175" cy="180975"/>
    <xdr:pic>
      <xdr:nvPicPr>
        <xdr:cNvPr id="0" name="image3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417</xdr:row>
      <xdr:rowOff>0</xdr:rowOff>
    </xdr:from>
    <xdr:ext cx="790575" cy="609600"/>
    <xdr:pic>
      <xdr:nvPicPr>
        <xdr:cNvPr id="0" name="image2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0</xdr:rowOff>
    </xdr:from>
    <xdr:ext cx="1285875" cy="95250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64</xdr:row>
      <xdr:rowOff>9525</xdr:rowOff>
    </xdr:from>
    <xdr:ext cx="838200" cy="6381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733425</xdr:colOff>
      <xdr:row>143</xdr:row>
      <xdr:rowOff>28575</xdr:rowOff>
    </xdr:from>
    <xdr:ext cx="838200" cy="5619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121</xdr:row>
      <xdr:rowOff>104775</xdr:rowOff>
    </xdr:from>
    <xdr:ext cx="838200" cy="56197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</xdr:row>
      <xdr:rowOff>0</xdr:rowOff>
    </xdr:from>
    <xdr:ext cx="190500" cy="180975"/>
    <xdr:pic>
      <xdr:nvPicPr>
        <xdr:cNvPr id="0" name="image1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0</xdr:row>
      <xdr:rowOff>38100</xdr:rowOff>
    </xdr:from>
    <xdr:ext cx="1285875" cy="95250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54</xdr:row>
      <xdr:rowOff>66675</xdr:rowOff>
    </xdr:from>
    <xdr:ext cx="838200" cy="6381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114</xdr:row>
      <xdr:rowOff>38100</xdr:rowOff>
    </xdr:from>
    <xdr:ext cx="742950" cy="5334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119</xdr:row>
      <xdr:rowOff>19050</xdr:rowOff>
    </xdr:from>
    <xdr:ext cx="838200" cy="56197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145</xdr:row>
      <xdr:rowOff>19050</xdr:rowOff>
    </xdr:from>
    <xdr:ext cx="838200" cy="638175"/>
    <xdr:pic>
      <xdr:nvPicPr>
        <xdr:cNvPr id="0" name="image1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185</xdr:row>
      <xdr:rowOff>28575</xdr:rowOff>
    </xdr:from>
    <xdr:ext cx="838200" cy="56197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1</xdr:row>
      <xdr:rowOff>-161925</xdr:rowOff>
    </xdr:from>
    <xdr:ext cx="1285875" cy="95250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669:D683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Modul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3:C91" displayName="Table_1" name="Table_1" id="1">
  <tableColumns count="3">
    <tableColumn name="PLACAS DE CARGA" id="1"/>
    <tableColumn name="PRECIO" id="2"/>
    <tableColumn name="Efectivo" id="3"/>
  </tableColumns>
  <tableStyleInfo name="Partes Chicas-style" showColumnStripes="0" showFirstColumn="1" showLastColumn="1" showRowStripes="1"/>
</table>
</file>

<file path=xl/tables/table3.xml><?xml version="1.0" encoding="utf-8"?>
<table xmlns="http://schemas.openxmlformats.org/spreadsheetml/2006/main" headerRowCount="0" ref="F9" displayName="Table_2" name="Table_2" id="2">
  <tableColumns count="1">
    <tableColumn name="Column1" id="1"/>
  </tableColumns>
  <tableStyleInfo name="Partes Chica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317:C317" displayName="Table_3" name="Table_3" id="3">
  <tableColumns count="3">
    <tableColumn name="Column1" id="1"/>
    <tableColumn name="Column2" id="2"/>
    <tableColumn name="Column3" id="3"/>
  </tableColumns>
  <tableStyleInfo name="Partes Chica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65.5"/>
    <col customWidth="1" min="3" max="3" width="10.5"/>
    <col customWidth="1" min="4" max="4" width="18.63"/>
    <col customWidth="1" hidden="1" min="5" max="6" width="10.25"/>
    <col customWidth="1" min="7" max="8" width="10.5"/>
    <col customWidth="1" min="9" max="25" width="10.25"/>
  </cols>
  <sheetData>
    <row r="1" ht="81.75" customHeight="1">
      <c r="A1" s="32"/>
      <c r="B1" s="33" t="s">
        <v>13</v>
      </c>
      <c r="C1" s="16"/>
      <c r="D1" s="16"/>
      <c r="E1" s="16"/>
      <c r="F1" s="17"/>
      <c r="G1" s="34"/>
    </row>
    <row r="2" ht="27.0" customHeight="1">
      <c r="A2" s="38"/>
      <c r="B2" s="4" t="s">
        <v>2</v>
      </c>
      <c r="C2" s="5" t="s">
        <v>3</v>
      </c>
      <c r="D2" s="6" t="s">
        <v>4</v>
      </c>
      <c r="E2" s="45" t="s">
        <v>17</v>
      </c>
      <c r="F2" s="51" t="s">
        <v>7</v>
      </c>
    </row>
    <row r="3" ht="38.25" customHeight="1">
      <c r="A3" s="52" t="s">
        <v>27</v>
      </c>
      <c r="B3" s="53"/>
      <c r="C3" s="10"/>
      <c r="D3" s="12"/>
      <c r="E3" s="25"/>
      <c r="F3" s="25"/>
    </row>
    <row r="4" ht="14.25" hidden="1" customHeight="1">
      <c r="A4" s="54" t="s">
        <v>28</v>
      </c>
      <c r="B4" s="55" t="s">
        <v>29</v>
      </c>
      <c r="C4" s="56">
        <v>14500.0</v>
      </c>
      <c r="D4" s="57">
        <f t="shared" ref="D4:D107" si="1">C4*0.97</f>
        <v>14065</v>
      </c>
      <c r="E4" s="58"/>
      <c r="F4" s="58"/>
      <c r="G4" s="34"/>
    </row>
    <row r="5" ht="14.25" customHeight="1">
      <c r="A5" s="59" t="s">
        <v>30</v>
      </c>
      <c r="B5" s="60" t="s">
        <v>31</v>
      </c>
      <c r="C5" s="61">
        <v>17000.0</v>
      </c>
      <c r="D5" s="62">
        <f t="shared" si="1"/>
        <v>16490</v>
      </c>
      <c r="E5" s="58"/>
      <c r="F5" s="58"/>
      <c r="G5" s="34"/>
    </row>
    <row r="6" ht="14.25" hidden="1" customHeight="1">
      <c r="A6" s="63"/>
      <c r="B6" s="55" t="s">
        <v>32</v>
      </c>
      <c r="C6" s="56">
        <v>18900.0</v>
      </c>
      <c r="D6" s="57">
        <f t="shared" si="1"/>
        <v>18333</v>
      </c>
      <c r="E6" s="58"/>
      <c r="F6" s="58"/>
      <c r="G6" s="34"/>
    </row>
    <row r="7" ht="14.25" hidden="1" customHeight="1">
      <c r="A7" s="64">
        <v>37641.0</v>
      </c>
      <c r="B7" s="60" t="s">
        <v>33</v>
      </c>
      <c r="C7" s="61">
        <v>15000.0</v>
      </c>
      <c r="D7" s="62">
        <f t="shared" si="1"/>
        <v>14550</v>
      </c>
      <c r="E7" s="58"/>
      <c r="F7" s="58"/>
      <c r="G7" s="34"/>
    </row>
    <row r="8" ht="14.25" customHeight="1">
      <c r="A8" s="63">
        <v>37632.0</v>
      </c>
      <c r="B8" s="55" t="s">
        <v>34</v>
      </c>
      <c r="C8" s="56">
        <v>19000.0</v>
      </c>
      <c r="D8" s="57">
        <f t="shared" si="1"/>
        <v>18430</v>
      </c>
      <c r="E8" s="58"/>
      <c r="F8" s="58"/>
      <c r="G8" s="34"/>
    </row>
    <row r="9" ht="14.25" hidden="1" customHeight="1">
      <c r="A9" s="64"/>
      <c r="B9" s="60" t="s">
        <v>35</v>
      </c>
      <c r="C9" s="61">
        <v>19500.0</v>
      </c>
      <c r="D9" s="62">
        <f t="shared" si="1"/>
        <v>18915</v>
      </c>
      <c r="E9" s="58"/>
      <c r="F9" s="58"/>
      <c r="G9" s="34"/>
    </row>
    <row r="10" ht="14.25" hidden="1" customHeight="1">
      <c r="A10" s="63"/>
      <c r="B10" s="55" t="s">
        <v>36</v>
      </c>
      <c r="C10" s="56">
        <v>21000.0</v>
      </c>
      <c r="D10" s="57">
        <f t="shared" si="1"/>
        <v>20370</v>
      </c>
      <c r="E10" s="58"/>
      <c r="F10" s="58"/>
      <c r="G10" s="34"/>
    </row>
    <row r="11" ht="14.25" customHeight="1">
      <c r="A11" s="64" t="s">
        <v>37</v>
      </c>
      <c r="B11" s="66" t="s">
        <v>39</v>
      </c>
      <c r="C11" s="61">
        <v>70000.0</v>
      </c>
      <c r="D11" s="62">
        <f t="shared" si="1"/>
        <v>67900</v>
      </c>
      <c r="E11" s="58"/>
      <c r="F11" s="58"/>
      <c r="G11" s="34" t="s">
        <v>42</v>
      </c>
    </row>
    <row r="12" ht="14.25" customHeight="1">
      <c r="A12" s="63">
        <v>37612.0</v>
      </c>
      <c r="B12" s="67" t="s">
        <v>43</v>
      </c>
      <c r="C12" s="56">
        <v>14000.0</v>
      </c>
      <c r="D12" s="57">
        <f t="shared" si="1"/>
        <v>13580</v>
      </c>
      <c r="E12" s="58">
        <v>5.0</v>
      </c>
      <c r="F12" s="58"/>
    </row>
    <row r="13" ht="14.25" customHeight="1">
      <c r="A13" s="64">
        <v>2.404170035E9</v>
      </c>
      <c r="B13" s="60" t="s">
        <v>48</v>
      </c>
      <c r="C13" s="61">
        <v>16000.0</v>
      </c>
      <c r="D13" s="62">
        <f t="shared" si="1"/>
        <v>15520</v>
      </c>
      <c r="E13" s="58"/>
      <c r="F13" s="58"/>
    </row>
    <row r="14" ht="14.25" customHeight="1">
      <c r="A14" s="63">
        <v>37595.0</v>
      </c>
      <c r="B14" s="67" t="s">
        <v>52</v>
      </c>
      <c r="C14" s="56">
        <v>14000.0</v>
      </c>
      <c r="D14" s="57">
        <f t="shared" si="1"/>
        <v>13580</v>
      </c>
      <c r="E14" s="58">
        <v>5.0</v>
      </c>
      <c r="F14" s="58"/>
    </row>
    <row r="15" ht="14.25" hidden="1" customHeight="1">
      <c r="A15" s="64"/>
      <c r="B15" s="60" t="s">
        <v>55</v>
      </c>
      <c r="C15" s="61">
        <v>16000.0</v>
      </c>
      <c r="D15" s="62">
        <f t="shared" si="1"/>
        <v>15520</v>
      </c>
      <c r="E15" s="58"/>
      <c r="F15" s="58"/>
    </row>
    <row r="16" ht="14.25" customHeight="1">
      <c r="A16" s="63" t="s">
        <v>28</v>
      </c>
      <c r="B16" s="67" t="s">
        <v>61</v>
      </c>
      <c r="C16" s="56">
        <v>14500.0</v>
      </c>
      <c r="D16" s="57">
        <f t="shared" si="1"/>
        <v>14065</v>
      </c>
      <c r="E16" s="58">
        <v>36.0</v>
      </c>
      <c r="F16" s="58"/>
      <c r="G16" s="34"/>
    </row>
    <row r="17" ht="14.25" customHeight="1">
      <c r="A17" s="59" t="s">
        <v>30</v>
      </c>
      <c r="B17" s="60" t="s">
        <v>63</v>
      </c>
      <c r="C17" s="61">
        <v>17000.0</v>
      </c>
      <c r="D17" s="62">
        <f t="shared" si="1"/>
        <v>16490</v>
      </c>
      <c r="E17" s="58"/>
      <c r="F17" s="58"/>
    </row>
    <row r="18" ht="14.25" customHeight="1">
      <c r="A18" s="63" t="s">
        <v>65</v>
      </c>
      <c r="B18" s="67" t="s">
        <v>66</v>
      </c>
      <c r="C18" s="56">
        <v>18900.0</v>
      </c>
      <c r="D18" s="57">
        <f t="shared" si="1"/>
        <v>18333</v>
      </c>
      <c r="E18" s="58">
        <v>0.0</v>
      </c>
      <c r="F18" s="58"/>
    </row>
    <row r="19" ht="14.25" customHeight="1">
      <c r="A19" s="64" t="s">
        <v>67</v>
      </c>
      <c r="B19" s="82" t="s">
        <v>68</v>
      </c>
      <c r="C19" s="61">
        <v>18900.0</v>
      </c>
      <c r="D19" s="62">
        <f t="shared" si="1"/>
        <v>18333</v>
      </c>
      <c r="E19" s="58">
        <v>0.0</v>
      </c>
      <c r="F19" s="58"/>
    </row>
    <row r="20" ht="14.25" customHeight="1">
      <c r="A20" s="63">
        <v>37800.0</v>
      </c>
      <c r="B20" s="55" t="s">
        <v>79</v>
      </c>
      <c r="C20" s="56">
        <v>14000.0</v>
      </c>
      <c r="D20" s="89">
        <f t="shared" si="1"/>
        <v>13580</v>
      </c>
      <c r="E20" s="58">
        <v>29.0</v>
      </c>
      <c r="F20" s="58"/>
      <c r="G20" s="34"/>
    </row>
    <row r="21" ht="14.25" customHeight="1">
      <c r="A21" s="59" t="s">
        <v>94</v>
      </c>
      <c r="B21" s="60" t="s">
        <v>98</v>
      </c>
      <c r="C21" s="61">
        <v>17000.0</v>
      </c>
      <c r="D21" s="98">
        <f t="shared" si="1"/>
        <v>16490</v>
      </c>
      <c r="E21" s="58"/>
      <c r="F21" s="58"/>
    </row>
    <row r="22" ht="14.25" hidden="1" customHeight="1">
      <c r="A22" s="63"/>
      <c r="B22" s="55" t="s">
        <v>151</v>
      </c>
      <c r="C22" s="56">
        <v>18900.0</v>
      </c>
      <c r="D22" s="57">
        <f t="shared" si="1"/>
        <v>18333</v>
      </c>
      <c r="E22" s="58"/>
      <c r="F22" s="58"/>
    </row>
    <row r="23" ht="14.25" customHeight="1">
      <c r="A23" s="64">
        <v>37659.0</v>
      </c>
      <c r="B23" s="82" t="s">
        <v>157</v>
      </c>
      <c r="C23" s="61">
        <v>18900.0</v>
      </c>
      <c r="D23" s="62">
        <f t="shared" si="1"/>
        <v>18333</v>
      </c>
      <c r="E23" s="58">
        <v>0.0</v>
      </c>
      <c r="F23" s="58"/>
    </row>
    <row r="24" ht="14.25" customHeight="1">
      <c r="A24" s="63" t="s">
        <v>160</v>
      </c>
      <c r="B24" s="55" t="s">
        <v>162</v>
      </c>
      <c r="C24" s="56">
        <v>22500.0</v>
      </c>
      <c r="D24" s="57">
        <f t="shared" si="1"/>
        <v>21825</v>
      </c>
      <c r="E24" s="58"/>
      <c r="F24" s="58"/>
    </row>
    <row r="25" ht="14.25" customHeight="1">
      <c r="A25" s="64">
        <v>37642.0</v>
      </c>
      <c r="B25" s="82" t="s">
        <v>165</v>
      </c>
      <c r="C25" s="61">
        <v>14000.0</v>
      </c>
      <c r="D25" s="62">
        <f t="shared" si="1"/>
        <v>13580</v>
      </c>
      <c r="E25" s="58">
        <v>12.0</v>
      </c>
      <c r="F25" s="58"/>
    </row>
    <row r="26" ht="14.25" customHeight="1">
      <c r="A26" s="63" t="s">
        <v>167</v>
      </c>
      <c r="B26" s="55" t="s">
        <v>168</v>
      </c>
      <c r="C26" s="56">
        <v>17000.0</v>
      </c>
      <c r="D26" s="57">
        <f t="shared" si="1"/>
        <v>16490</v>
      </c>
      <c r="E26" s="58"/>
      <c r="F26" s="58"/>
      <c r="G26" s="34"/>
    </row>
    <row r="27" ht="14.25" customHeight="1">
      <c r="A27" s="64" t="s">
        <v>172</v>
      </c>
      <c r="B27" s="60" t="s">
        <v>173</v>
      </c>
      <c r="C27" s="61">
        <v>22500.0</v>
      </c>
      <c r="D27" s="62">
        <f t="shared" si="1"/>
        <v>21825</v>
      </c>
      <c r="E27" s="58"/>
      <c r="F27" s="58"/>
      <c r="G27" s="34"/>
    </row>
    <row r="28" ht="14.25" customHeight="1">
      <c r="A28" s="63">
        <v>37656.0</v>
      </c>
      <c r="B28" s="67" t="s">
        <v>175</v>
      </c>
      <c r="C28" s="56">
        <v>14000.0</v>
      </c>
      <c r="D28" s="57">
        <f t="shared" si="1"/>
        <v>13580</v>
      </c>
      <c r="E28" s="58">
        <v>18.0</v>
      </c>
      <c r="F28" s="58"/>
      <c r="G28" s="34"/>
    </row>
    <row r="29" ht="14.25" customHeight="1">
      <c r="A29" s="64" t="s">
        <v>176</v>
      </c>
      <c r="B29" s="60" t="s">
        <v>178</v>
      </c>
      <c r="C29" s="61">
        <v>17000.0</v>
      </c>
      <c r="D29" s="62">
        <f t="shared" si="1"/>
        <v>16490</v>
      </c>
      <c r="E29" s="58"/>
      <c r="F29" s="58"/>
    </row>
    <row r="30" ht="14.25" customHeight="1">
      <c r="A30" s="63" t="s">
        <v>179</v>
      </c>
      <c r="B30" s="55" t="s">
        <v>181</v>
      </c>
      <c r="C30" s="56">
        <v>24000.0</v>
      </c>
      <c r="D30" s="57">
        <f t="shared" si="1"/>
        <v>23280</v>
      </c>
      <c r="E30" s="58"/>
      <c r="F30" s="58"/>
    </row>
    <row r="31" ht="14.25" customHeight="1">
      <c r="A31" s="64">
        <v>37660.0</v>
      </c>
      <c r="B31" s="60" t="s">
        <v>184</v>
      </c>
      <c r="C31" s="61">
        <v>18900.0</v>
      </c>
      <c r="D31" s="62">
        <f t="shared" si="1"/>
        <v>18333</v>
      </c>
      <c r="E31" s="58"/>
      <c r="F31" s="58"/>
    </row>
    <row r="32" ht="14.25" customHeight="1">
      <c r="A32" s="63">
        <v>37657.0</v>
      </c>
      <c r="B32" s="67" t="s">
        <v>186</v>
      </c>
      <c r="C32" s="56">
        <v>15000.0</v>
      </c>
      <c r="D32" s="57">
        <f t="shared" si="1"/>
        <v>14550</v>
      </c>
      <c r="E32" s="58">
        <v>10.0</v>
      </c>
      <c r="F32" s="58"/>
    </row>
    <row r="33" ht="14.25" customHeight="1">
      <c r="A33" s="64">
        <v>2.40311003E9</v>
      </c>
      <c r="B33" s="60" t="s">
        <v>187</v>
      </c>
      <c r="C33" s="61">
        <v>17000.0</v>
      </c>
      <c r="D33" s="62">
        <f t="shared" si="1"/>
        <v>16490</v>
      </c>
      <c r="E33" s="58"/>
      <c r="F33" s="58"/>
      <c r="I33" s="34"/>
    </row>
    <row r="34" ht="14.25" customHeight="1">
      <c r="A34" s="63" t="s">
        <v>189</v>
      </c>
      <c r="B34" s="55" t="s">
        <v>190</v>
      </c>
      <c r="C34" s="56">
        <v>18900.0</v>
      </c>
      <c r="D34" s="57">
        <f t="shared" si="1"/>
        <v>18333</v>
      </c>
      <c r="E34" s="58"/>
      <c r="F34" s="58"/>
    </row>
    <row r="35" ht="14.25" hidden="1" customHeight="1">
      <c r="A35" s="64"/>
      <c r="B35" s="60" t="s">
        <v>192</v>
      </c>
      <c r="C35" s="61">
        <v>15000.0</v>
      </c>
      <c r="D35" s="98">
        <f t="shared" si="1"/>
        <v>14550</v>
      </c>
      <c r="E35" s="58">
        <v>14.0</v>
      </c>
      <c r="F35" s="58"/>
      <c r="G35" s="34"/>
    </row>
    <row r="36" ht="14.25" customHeight="1">
      <c r="A36" s="63" t="s">
        <v>195</v>
      </c>
      <c r="B36" s="55" t="s">
        <v>197</v>
      </c>
      <c r="C36" s="56">
        <v>18900.0</v>
      </c>
      <c r="D36" s="57">
        <f t="shared" si="1"/>
        <v>18333</v>
      </c>
      <c r="E36" s="58"/>
      <c r="F36" s="58"/>
      <c r="G36" s="34"/>
    </row>
    <row r="37" ht="14.25" customHeight="1">
      <c r="A37" s="64" t="s">
        <v>200</v>
      </c>
      <c r="B37" s="60" t="s">
        <v>24</v>
      </c>
      <c r="C37" s="61">
        <v>17000.0</v>
      </c>
      <c r="D37" s="62">
        <f t="shared" si="1"/>
        <v>16490</v>
      </c>
      <c r="E37" s="58"/>
      <c r="F37" s="58"/>
      <c r="G37" s="34"/>
    </row>
    <row r="38" ht="14.25" customHeight="1">
      <c r="A38" s="63" t="s">
        <v>203</v>
      </c>
      <c r="B38" s="55" t="s">
        <v>206</v>
      </c>
      <c r="C38" s="56">
        <v>19900.0</v>
      </c>
      <c r="D38" s="57">
        <f t="shared" si="1"/>
        <v>19303</v>
      </c>
      <c r="E38" s="58">
        <v>5.0</v>
      </c>
      <c r="F38" s="58"/>
      <c r="G38" s="34"/>
    </row>
    <row r="39" ht="14.25" customHeight="1">
      <c r="A39" s="64" t="s">
        <v>210</v>
      </c>
      <c r="B39" s="60" t="s">
        <v>211</v>
      </c>
      <c r="C39" s="61">
        <v>22900.0</v>
      </c>
      <c r="D39" s="62">
        <f t="shared" si="1"/>
        <v>22213</v>
      </c>
      <c r="E39" s="58"/>
      <c r="F39" s="58"/>
    </row>
    <row r="40" ht="14.25" customHeight="1">
      <c r="A40" s="63" t="s">
        <v>215</v>
      </c>
      <c r="B40" s="55" t="s">
        <v>219</v>
      </c>
      <c r="C40" s="56">
        <v>20500.0</v>
      </c>
      <c r="D40" s="57">
        <f t="shared" si="1"/>
        <v>19885</v>
      </c>
      <c r="E40" s="58"/>
      <c r="F40" s="58"/>
    </row>
    <row r="41" ht="14.25" customHeight="1">
      <c r="A41" s="64" t="s">
        <v>224</v>
      </c>
      <c r="B41" s="60" t="s">
        <v>225</v>
      </c>
      <c r="C41" s="61">
        <v>17000.0</v>
      </c>
      <c r="D41" s="62">
        <f t="shared" si="1"/>
        <v>16490</v>
      </c>
      <c r="E41" s="58"/>
      <c r="F41" s="58"/>
      <c r="G41" s="34"/>
    </row>
    <row r="42" ht="14.25" customHeight="1">
      <c r="A42" s="63" t="s">
        <v>229</v>
      </c>
      <c r="B42" s="55" t="s">
        <v>231</v>
      </c>
      <c r="C42" s="56">
        <v>19900.0</v>
      </c>
      <c r="D42" s="57">
        <f t="shared" si="1"/>
        <v>19303</v>
      </c>
      <c r="E42" s="58"/>
      <c r="F42" s="58"/>
      <c r="G42" s="34"/>
    </row>
    <row r="43" ht="14.25" customHeight="1">
      <c r="A43" s="64" t="s">
        <v>236</v>
      </c>
      <c r="B43" s="60" t="s">
        <v>237</v>
      </c>
      <c r="C43" s="61">
        <v>26500.0</v>
      </c>
      <c r="D43" s="62">
        <f t="shared" si="1"/>
        <v>25705</v>
      </c>
      <c r="E43" s="58"/>
      <c r="F43" s="58"/>
      <c r="G43" s="34"/>
    </row>
    <row r="44" ht="14.25" customHeight="1">
      <c r="A44" s="63" t="s">
        <v>243</v>
      </c>
      <c r="B44" s="55" t="s">
        <v>244</v>
      </c>
      <c r="C44" s="56">
        <v>21000.0</v>
      </c>
      <c r="D44" s="57">
        <f t="shared" si="1"/>
        <v>20370</v>
      </c>
      <c r="E44" s="58"/>
      <c r="F44" s="58"/>
      <c r="G44" s="34"/>
    </row>
    <row r="45" ht="14.25" customHeight="1">
      <c r="A45" s="64">
        <v>37700.0</v>
      </c>
      <c r="B45" s="82" t="s">
        <v>247</v>
      </c>
      <c r="C45" s="61">
        <v>17900.0</v>
      </c>
      <c r="D45" s="62">
        <f t="shared" si="1"/>
        <v>17363</v>
      </c>
      <c r="E45" s="58">
        <v>0.0</v>
      </c>
      <c r="F45" s="58"/>
      <c r="G45" s="34"/>
    </row>
    <row r="46" ht="14.25" customHeight="1">
      <c r="A46" s="63" t="s">
        <v>252</v>
      </c>
      <c r="B46" s="55" t="s">
        <v>254</v>
      </c>
      <c r="C46" s="56">
        <v>14000.0</v>
      </c>
      <c r="D46" s="57">
        <f t="shared" si="1"/>
        <v>13580</v>
      </c>
      <c r="E46" s="58">
        <v>10.0</v>
      </c>
      <c r="F46" s="58"/>
      <c r="G46" s="34"/>
    </row>
    <row r="47" ht="14.25" customHeight="1">
      <c r="A47" s="64" t="s">
        <v>257</v>
      </c>
      <c r="B47" s="60" t="s">
        <v>260</v>
      </c>
      <c r="C47" s="61">
        <v>17000.0</v>
      </c>
      <c r="D47" s="62">
        <f t="shared" si="1"/>
        <v>16490</v>
      </c>
      <c r="E47" s="58"/>
      <c r="F47" s="58"/>
      <c r="G47" s="34"/>
    </row>
    <row r="48" ht="14.25" customHeight="1">
      <c r="A48" s="63">
        <v>37562.0</v>
      </c>
      <c r="B48" s="67" t="s">
        <v>264</v>
      </c>
      <c r="C48" s="56">
        <v>14000.0</v>
      </c>
      <c r="D48" s="57">
        <f t="shared" si="1"/>
        <v>13580</v>
      </c>
      <c r="E48" s="58">
        <v>0.0</v>
      </c>
      <c r="F48" s="58"/>
      <c r="G48" s="34"/>
    </row>
    <row r="49" ht="14.25" customHeight="1">
      <c r="A49" s="64" t="s">
        <v>268</v>
      </c>
      <c r="B49" s="60" t="s">
        <v>272</v>
      </c>
      <c r="C49" s="61">
        <v>17000.0</v>
      </c>
      <c r="D49" s="62">
        <f t="shared" si="1"/>
        <v>16490</v>
      </c>
      <c r="E49" s="58"/>
      <c r="F49" s="58"/>
      <c r="G49" s="34"/>
    </row>
    <row r="50" ht="14.25" customHeight="1">
      <c r="A50" s="63">
        <v>37960.0</v>
      </c>
      <c r="B50" s="67" t="s">
        <v>276</v>
      </c>
      <c r="C50" s="56">
        <v>17900.0</v>
      </c>
      <c r="D50" s="57">
        <f t="shared" si="1"/>
        <v>17363</v>
      </c>
      <c r="E50" s="58">
        <v>0.0</v>
      </c>
      <c r="F50" s="58"/>
      <c r="G50" s="34"/>
    </row>
    <row r="51" ht="14.25" customHeight="1">
      <c r="A51" s="64">
        <v>37602.0</v>
      </c>
      <c r="B51" s="82" t="s">
        <v>279</v>
      </c>
      <c r="C51" s="61">
        <v>16000.0</v>
      </c>
      <c r="D51" s="62">
        <f t="shared" si="1"/>
        <v>15520</v>
      </c>
      <c r="E51" s="58">
        <v>7.0</v>
      </c>
      <c r="F51" s="58"/>
    </row>
    <row r="52" ht="14.25" customHeight="1">
      <c r="A52" s="63" t="s">
        <v>282</v>
      </c>
      <c r="B52" s="55" t="s">
        <v>283</v>
      </c>
      <c r="C52" s="56">
        <v>18500.0</v>
      </c>
      <c r="D52" s="57">
        <f t="shared" si="1"/>
        <v>17945</v>
      </c>
      <c r="E52" s="58">
        <v>0.0</v>
      </c>
      <c r="F52" s="58"/>
    </row>
    <row r="53" ht="14.25" customHeight="1">
      <c r="A53" s="64" t="s">
        <v>28</v>
      </c>
      <c r="B53" s="60" t="s">
        <v>288</v>
      </c>
      <c r="C53" s="61">
        <v>15500.0</v>
      </c>
      <c r="D53" s="62">
        <f t="shared" si="1"/>
        <v>15035</v>
      </c>
      <c r="E53" s="58">
        <v>36.0</v>
      </c>
      <c r="F53" s="58"/>
      <c r="G53" s="34"/>
    </row>
    <row r="54" ht="14.25" customHeight="1">
      <c r="A54" s="114" t="s">
        <v>30</v>
      </c>
      <c r="B54" s="55" t="s">
        <v>295</v>
      </c>
      <c r="C54" s="56">
        <v>17000.0</v>
      </c>
      <c r="D54" s="57">
        <f t="shared" si="1"/>
        <v>16490</v>
      </c>
      <c r="E54" s="58"/>
      <c r="F54" s="58"/>
      <c r="G54" s="34"/>
    </row>
    <row r="55" ht="22.5" customHeight="1">
      <c r="A55" s="59">
        <v>37646.0</v>
      </c>
      <c r="B55" s="60" t="s">
        <v>299</v>
      </c>
      <c r="C55" s="61">
        <v>22000.0</v>
      </c>
      <c r="D55" s="62">
        <f t="shared" si="1"/>
        <v>21340</v>
      </c>
      <c r="E55" s="58"/>
      <c r="F55" s="58"/>
      <c r="G55" s="34"/>
    </row>
    <row r="56" ht="21.0" customHeight="1">
      <c r="A56" s="63" t="s">
        <v>304</v>
      </c>
      <c r="B56" s="55" t="s">
        <v>305</v>
      </c>
      <c r="C56" s="56">
        <v>26000.0</v>
      </c>
      <c r="D56" s="57">
        <f t="shared" si="1"/>
        <v>25220</v>
      </c>
      <c r="E56" s="58"/>
      <c r="F56" s="58"/>
      <c r="G56" s="34"/>
    </row>
    <row r="57" ht="14.25" customHeight="1">
      <c r="A57" s="64">
        <v>37641.0</v>
      </c>
      <c r="B57" s="60" t="s">
        <v>310</v>
      </c>
      <c r="C57" s="61">
        <v>15000.0</v>
      </c>
      <c r="D57" s="62">
        <f t="shared" si="1"/>
        <v>14550</v>
      </c>
      <c r="E57" s="58">
        <v>11.0</v>
      </c>
      <c r="F57" s="58"/>
      <c r="G57" s="34"/>
    </row>
    <row r="58" ht="14.25" customHeight="1">
      <c r="A58" s="114" t="s">
        <v>316</v>
      </c>
      <c r="B58" s="55" t="s">
        <v>318</v>
      </c>
      <c r="C58" s="89">
        <v>19500.0</v>
      </c>
      <c r="D58" s="57">
        <f t="shared" si="1"/>
        <v>18915</v>
      </c>
      <c r="E58" s="58"/>
      <c r="F58" s="58"/>
      <c r="G58" s="34"/>
    </row>
    <row r="59" ht="14.25" customHeight="1">
      <c r="A59" s="64" t="s">
        <v>323</v>
      </c>
      <c r="B59" s="60" t="s">
        <v>325</v>
      </c>
      <c r="C59" s="98">
        <v>19500.0</v>
      </c>
      <c r="D59" s="62">
        <f t="shared" si="1"/>
        <v>18915</v>
      </c>
      <c r="E59" s="58"/>
      <c r="F59" s="58"/>
      <c r="G59" s="34"/>
    </row>
    <row r="60" ht="14.25" customHeight="1">
      <c r="A60" s="63" t="s">
        <v>330</v>
      </c>
      <c r="B60" s="55" t="s">
        <v>331</v>
      </c>
      <c r="C60" s="56">
        <v>22000.0</v>
      </c>
      <c r="D60" s="57">
        <f t="shared" si="1"/>
        <v>21340</v>
      </c>
      <c r="E60" s="58"/>
      <c r="F60" s="58"/>
    </row>
    <row r="61" ht="14.25" customHeight="1">
      <c r="A61" s="64" t="s">
        <v>336</v>
      </c>
      <c r="B61" s="60" t="s">
        <v>337</v>
      </c>
      <c r="C61" s="61">
        <v>24000.0</v>
      </c>
      <c r="D61" s="62">
        <f t="shared" si="1"/>
        <v>23280</v>
      </c>
      <c r="E61" s="58"/>
      <c r="F61" s="58"/>
    </row>
    <row r="62" ht="14.25" customHeight="1">
      <c r="A62" s="63">
        <v>37665.0</v>
      </c>
      <c r="B62" s="67" t="s">
        <v>340</v>
      </c>
      <c r="C62" s="90">
        <v>22500.0</v>
      </c>
      <c r="D62" s="57">
        <f t="shared" si="1"/>
        <v>21825</v>
      </c>
      <c r="E62" s="58">
        <v>3.0</v>
      </c>
      <c r="F62" s="58"/>
    </row>
    <row r="63" ht="14.25" customHeight="1">
      <c r="A63" s="59" t="s">
        <v>345</v>
      </c>
      <c r="B63" s="60" t="s">
        <v>346</v>
      </c>
      <c r="C63" s="98">
        <v>21000.0</v>
      </c>
      <c r="D63" s="62">
        <f t="shared" si="1"/>
        <v>20370</v>
      </c>
      <c r="E63" s="58"/>
      <c r="F63" s="58"/>
      <c r="G63" s="34"/>
    </row>
    <row r="64" ht="14.25" customHeight="1">
      <c r="A64" s="63" t="s">
        <v>349</v>
      </c>
      <c r="B64" s="55" t="s">
        <v>352</v>
      </c>
      <c r="C64" s="89">
        <v>26000.0</v>
      </c>
      <c r="D64" s="57">
        <f t="shared" si="1"/>
        <v>25220</v>
      </c>
      <c r="E64" s="58"/>
      <c r="F64" s="58"/>
      <c r="G64" s="34"/>
    </row>
    <row r="65" ht="14.25" customHeight="1">
      <c r="A65" s="64">
        <v>37637.0</v>
      </c>
      <c r="B65" s="82" t="s">
        <v>358</v>
      </c>
      <c r="C65" s="98">
        <v>20500.0</v>
      </c>
      <c r="D65" s="98">
        <f t="shared" si="1"/>
        <v>19885</v>
      </c>
      <c r="E65" s="58">
        <v>0.0</v>
      </c>
      <c r="F65" s="58"/>
      <c r="G65" s="34"/>
    </row>
    <row r="66" ht="14.25" customHeight="1">
      <c r="A66" s="63">
        <v>1317.0</v>
      </c>
      <c r="B66" s="67" t="s">
        <v>362</v>
      </c>
      <c r="C66" s="56">
        <v>19500.0</v>
      </c>
      <c r="D66" s="57">
        <f t="shared" si="1"/>
        <v>18915</v>
      </c>
      <c r="E66" s="58">
        <v>9.0</v>
      </c>
      <c r="F66" s="58"/>
      <c r="G66" s="34"/>
    </row>
    <row r="67" ht="14.25" customHeight="1">
      <c r="A67" s="64" t="s">
        <v>367</v>
      </c>
      <c r="B67" s="60" t="s">
        <v>369</v>
      </c>
      <c r="C67" s="61">
        <v>21500.0</v>
      </c>
      <c r="D67" s="62">
        <f t="shared" si="1"/>
        <v>20855</v>
      </c>
      <c r="E67" s="58"/>
      <c r="F67" s="58"/>
      <c r="G67" s="34"/>
    </row>
    <row r="68" ht="14.25" customHeight="1">
      <c r="A68" s="114" t="s">
        <v>372</v>
      </c>
      <c r="B68" s="55" t="s">
        <v>373</v>
      </c>
      <c r="C68" s="56">
        <v>26000.0</v>
      </c>
      <c r="D68" s="57">
        <f t="shared" si="1"/>
        <v>25220</v>
      </c>
      <c r="E68" s="58"/>
      <c r="F68" s="58"/>
      <c r="G68" s="34"/>
    </row>
    <row r="69" ht="14.25" customHeight="1">
      <c r="A69" s="64" t="s">
        <v>377</v>
      </c>
      <c r="B69" s="60" t="s">
        <v>379</v>
      </c>
      <c r="C69" s="61">
        <v>26000.0</v>
      </c>
      <c r="D69" s="62">
        <f t="shared" si="1"/>
        <v>25220</v>
      </c>
      <c r="E69" s="58"/>
      <c r="F69" s="58"/>
      <c r="G69" s="34"/>
    </row>
    <row r="70" ht="14.25" customHeight="1">
      <c r="A70" s="63"/>
      <c r="B70" s="55" t="s">
        <v>340</v>
      </c>
      <c r="C70" s="56">
        <v>22500.0</v>
      </c>
      <c r="D70" s="57">
        <f t="shared" si="1"/>
        <v>21825</v>
      </c>
      <c r="E70" s="58"/>
      <c r="F70" s="58"/>
      <c r="G70" s="34"/>
    </row>
    <row r="71" ht="14.25" customHeight="1">
      <c r="A71" s="64" t="s">
        <v>392</v>
      </c>
      <c r="B71" s="60" t="s">
        <v>398</v>
      </c>
      <c r="C71" s="61">
        <v>32000.0</v>
      </c>
      <c r="D71" s="62">
        <f t="shared" si="1"/>
        <v>31040</v>
      </c>
      <c r="E71" s="58"/>
      <c r="F71" s="58"/>
      <c r="G71" s="34"/>
    </row>
    <row r="72" ht="14.25" customHeight="1">
      <c r="A72" s="114" t="s">
        <v>407</v>
      </c>
      <c r="B72" s="55" t="s">
        <v>408</v>
      </c>
      <c r="C72" s="56">
        <v>61000.0</v>
      </c>
      <c r="D72" s="57">
        <f t="shared" si="1"/>
        <v>59170</v>
      </c>
      <c r="E72" s="58"/>
      <c r="F72" s="58"/>
      <c r="G72" s="34"/>
    </row>
    <row r="73" ht="14.25" customHeight="1">
      <c r="A73" s="64" t="s">
        <v>411</v>
      </c>
      <c r="B73" s="82" t="s">
        <v>413</v>
      </c>
      <c r="C73" s="61">
        <v>67000.0</v>
      </c>
      <c r="D73" s="62">
        <f t="shared" si="1"/>
        <v>64990</v>
      </c>
      <c r="E73" s="58">
        <v>0.0</v>
      </c>
      <c r="F73" s="58"/>
      <c r="G73" s="34"/>
    </row>
    <row r="74" ht="14.25" customHeight="1">
      <c r="A74" s="63" t="s">
        <v>416</v>
      </c>
      <c r="B74" s="55" t="s">
        <v>418</v>
      </c>
      <c r="C74" s="56">
        <v>32000.0</v>
      </c>
      <c r="D74" s="57">
        <f t="shared" si="1"/>
        <v>31040</v>
      </c>
      <c r="E74" s="58"/>
      <c r="F74" s="58"/>
      <c r="G74" s="34"/>
    </row>
    <row r="75" ht="14.25" customHeight="1">
      <c r="A75" s="64" t="s">
        <v>420</v>
      </c>
      <c r="B75" s="60" t="s">
        <v>422</v>
      </c>
      <c r="C75" s="61">
        <v>69000.0</v>
      </c>
      <c r="D75" s="62">
        <f t="shared" si="1"/>
        <v>66930</v>
      </c>
      <c r="E75" s="58"/>
      <c r="F75" s="58"/>
      <c r="G75" s="34" t="s">
        <v>78</v>
      </c>
    </row>
    <row r="76" ht="14.25" customHeight="1">
      <c r="A76" s="63" t="s">
        <v>426</v>
      </c>
      <c r="B76" s="55" t="s">
        <v>427</v>
      </c>
      <c r="C76" s="56">
        <v>85000.0</v>
      </c>
      <c r="D76" s="57">
        <f t="shared" si="1"/>
        <v>82450</v>
      </c>
      <c r="E76" s="58"/>
      <c r="F76" s="58"/>
      <c r="G76" s="34"/>
    </row>
    <row r="77" ht="14.25" customHeight="1">
      <c r="A77" s="59" t="s">
        <v>431</v>
      </c>
      <c r="B77" s="60" t="s">
        <v>432</v>
      </c>
      <c r="C77" s="61">
        <v>98000.0</v>
      </c>
      <c r="D77" s="98">
        <f t="shared" si="1"/>
        <v>95060</v>
      </c>
      <c r="E77" s="58"/>
      <c r="F77" s="58"/>
      <c r="G77" s="34"/>
    </row>
    <row r="78" ht="14.25" customHeight="1">
      <c r="A78" s="63">
        <v>37682.0</v>
      </c>
      <c r="B78" s="55" t="s">
        <v>435</v>
      </c>
      <c r="C78" s="56">
        <v>105000.0</v>
      </c>
      <c r="D78" s="89">
        <f t="shared" si="1"/>
        <v>101850</v>
      </c>
      <c r="E78" s="58"/>
      <c r="F78" s="58"/>
      <c r="G78" s="34" t="s">
        <v>78</v>
      </c>
    </row>
    <row r="79" ht="14.25" customHeight="1">
      <c r="A79" s="64" t="s">
        <v>436</v>
      </c>
      <c r="B79" s="138" t="s">
        <v>437</v>
      </c>
      <c r="C79" s="61">
        <v>65000.0</v>
      </c>
      <c r="D79" s="98">
        <f t="shared" si="1"/>
        <v>63050</v>
      </c>
      <c r="E79" s="58"/>
      <c r="F79" s="58"/>
      <c r="G79" s="34"/>
    </row>
    <row r="80" ht="14.25" customHeight="1">
      <c r="A80" s="63" t="s">
        <v>438</v>
      </c>
      <c r="B80" s="55" t="s">
        <v>439</v>
      </c>
      <c r="C80" s="56">
        <v>85000.0</v>
      </c>
      <c r="D80" s="89">
        <f t="shared" si="1"/>
        <v>82450</v>
      </c>
      <c r="E80" s="58"/>
      <c r="F80" s="58"/>
      <c r="G80" s="34"/>
    </row>
    <row r="81" ht="14.25" customHeight="1">
      <c r="A81" s="64" t="s">
        <v>440</v>
      </c>
      <c r="B81" s="60" t="s">
        <v>441</v>
      </c>
      <c r="C81" s="61">
        <v>78000.0</v>
      </c>
      <c r="D81" s="98">
        <f t="shared" si="1"/>
        <v>75660</v>
      </c>
      <c r="E81" s="58"/>
      <c r="F81" s="58"/>
    </row>
    <row r="82" ht="14.25" customHeight="1">
      <c r="A82" s="63">
        <v>37560.0</v>
      </c>
      <c r="B82" s="55" t="s">
        <v>442</v>
      </c>
      <c r="C82" s="56">
        <v>37000.0</v>
      </c>
      <c r="D82" s="89">
        <f t="shared" si="1"/>
        <v>35890</v>
      </c>
      <c r="E82" s="58"/>
      <c r="F82" s="58"/>
    </row>
    <row r="83" ht="14.25" customHeight="1">
      <c r="A83" s="64">
        <v>10588.0</v>
      </c>
      <c r="B83" s="82" t="s">
        <v>443</v>
      </c>
      <c r="C83" s="61">
        <v>42900.0</v>
      </c>
      <c r="D83" s="98">
        <f t="shared" si="1"/>
        <v>41613</v>
      </c>
      <c r="E83" s="58">
        <v>0.0</v>
      </c>
      <c r="F83" s="58"/>
    </row>
    <row r="84" ht="14.25" customHeight="1">
      <c r="A84" s="63">
        <v>37538.0</v>
      </c>
      <c r="B84" s="67" t="s">
        <v>444</v>
      </c>
      <c r="C84" s="56">
        <v>28000.0</v>
      </c>
      <c r="D84" s="57">
        <f t="shared" si="1"/>
        <v>27160</v>
      </c>
      <c r="E84" s="58">
        <v>0.0</v>
      </c>
      <c r="F84" s="58"/>
    </row>
    <row r="85" ht="14.25" customHeight="1">
      <c r="A85" s="64" t="s">
        <v>445</v>
      </c>
      <c r="B85" s="82" t="s">
        <v>446</v>
      </c>
      <c r="C85" s="61">
        <v>36500.0</v>
      </c>
      <c r="D85" s="62">
        <f t="shared" si="1"/>
        <v>35405</v>
      </c>
      <c r="E85" s="58">
        <v>5.0</v>
      </c>
      <c r="F85" s="58"/>
    </row>
    <row r="86" ht="14.25" customHeight="1">
      <c r="A86" s="63">
        <v>37563.0</v>
      </c>
      <c r="B86" s="55" t="s">
        <v>447</v>
      </c>
      <c r="C86" s="56">
        <v>16000.0</v>
      </c>
      <c r="D86" s="57">
        <f t="shared" si="1"/>
        <v>15520</v>
      </c>
      <c r="E86" s="58"/>
      <c r="F86" s="58"/>
    </row>
    <row r="87" ht="14.25" customHeight="1">
      <c r="A87" s="64" t="s">
        <v>448</v>
      </c>
      <c r="B87" s="60" t="s">
        <v>449</v>
      </c>
      <c r="C87" s="61">
        <v>18000.0</v>
      </c>
      <c r="D87" s="62">
        <f t="shared" si="1"/>
        <v>17460</v>
      </c>
      <c r="E87" s="58">
        <v>9.0</v>
      </c>
      <c r="F87" s="58"/>
    </row>
    <row r="88" ht="14.25" customHeight="1">
      <c r="A88" s="63">
        <v>37961.0</v>
      </c>
      <c r="B88" s="55" t="s">
        <v>450</v>
      </c>
      <c r="C88" s="56">
        <v>18900.0</v>
      </c>
      <c r="D88" s="57">
        <f t="shared" si="1"/>
        <v>18333</v>
      </c>
      <c r="E88" s="58"/>
      <c r="F88" s="58"/>
    </row>
    <row r="89" ht="14.25" customHeight="1">
      <c r="A89" s="64">
        <v>37610.0</v>
      </c>
      <c r="B89" s="82" t="s">
        <v>451</v>
      </c>
      <c r="C89" s="61">
        <v>16000.0</v>
      </c>
      <c r="D89" s="62">
        <f t="shared" si="1"/>
        <v>15520</v>
      </c>
      <c r="E89" s="58">
        <v>19.0</v>
      </c>
      <c r="F89" s="58"/>
    </row>
    <row r="90" ht="14.25" customHeight="1">
      <c r="A90" s="63" t="s">
        <v>452</v>
      </c>
      <c r="B90" s="55" t="s">
        <v>453</v>
      </c>
      <c r="C90" s="56">
        <v>19500.0</v>
      </c>
      <c r="D90" s="57">
        <f t="shared" si="1"/>
        <v>18915</v>
      </c>
      <c r="E90" s="58"/>
      <c r="F90" s="58"/>
    </row>
    <row r="91" ht="14.25" customHeight="1">
      <c r="A91" s="64">
        <v>2.401251874E9</v>
      </c>
      <c r="B91" s="60" t="s">
        <v>454</v>
      </c>
      <c r="C91" s="61">
        <v>21000.0</v>
      </c>
      <c r="D91" s="62">
        <f t="shared" si="1"/>
        <v>20370</v>
      </c>
      <c r="E91" s="58"/>
      <c r="F91" s="58"/>
    </row>
    <row r="92" ht="14.25" customHeight="1">
      <c r="A92" s="63" t="s">
        <v>455</v>
      </c>
      <c r="B92" s="55" t="s">
        <v>456</v>
      </c>
      <c r="C92" s="56">
        <v>26000.0</v>
      </c>
      <c r="D92" s="57">
        <f t="shared" si="1"/>
        <v>25220</v>
      </c>
      <c r="E92" s="58"/>
      <c r="F92" s="58"/>
    </row>
    <row r="93" ht="14.25" customHeight="1">
      <c r="A93" s="64">
        <v>37672.0</v>
      </c>
      <c r="B93" s="60" t="s">
        <v>457</v>
      </c>
      <c r="C93" s="61">
        <v>24000.0</v>
      </c>
      <c r="D93" s="62">
        <f t="shared" si="1"/>
        <v>23280</v>
      </c>
      <c r="E93" s="58"/>
      <c r="F93" s="58"/>
    </row>
    <row r="94" ht="14.25" customHeight="1">
      <c r="A94" s="63">
        <v>2.406220006E9</v>
      </c>
      <c r="B94" s="55" t="s">
        <v>459</v>
      </c>
      <c r="C94" s="56">
        <v>44000.0</v>
      </c>
      <c r="D94" s="57">
        <f t="shared" si="1"/>
        <v>42680</v>
      </c>
      <c r="E94" s="58"/>
      <c r="F94" s="58"/>
    </row>
    <row r="95" ht="14.25" customHeight="1">
      <c r="A95" s="64">
        <v>37636.0</v>
      </c>
      <c r="B95" s="82" t="s">
        <v>460</v>
      </c>
      <c r="C95" s="61">
        <v>44000.0</v>
      </c>
      <c r="D95" s="98">
        <f t="shared" si="1"/>
        <v>42680</v>
      </c>
      <c r="E95" s="58">
        <v>0.0</v>
      </c>
      <c r="F95" s="58"/>
    </row>
    <row r="96" ht="14.25" customHeight="1">
      <c r="A96" s="63">
        <v>37940.0</v>
      </c>
      <c r="B96" s="67" t="s">
        <v>461</v>
      </c>
      <c r="C96" s="56">
        <v>17500.0</v>
      </c>
      <c r="D96" s="57">
        <f t="shared" si="1"/>
        <v>16975</v>
      </c>
      <c r="E96" s="58">
        <v>12.0</v>
      </c>
      <c r="F96" s="58"/>
    </row>
    <row r="97" ht="14.25" customHeight="1">
      <c r="A97" s="64" t="s">
        <v>462</v>
      </c>
      <c r="B97" s="60" t="s">
        <v>464</v>
      </c>
      <c r="C97" s="61">
        <v>19500.0</v>
      </c>
      <c r="D97" s="62">
        <f t="shared" si="1"/>
        <v>18915</v>
      </c>
      <c r="E97" s="58"/>
      <c r="F97" s="58"/>
    </row>
    <row r="98" ht="14.25" customHeight="1">
      <c r="A98" s="63">
        <v>2.406220006E9</v>
      </c>
      <c r="B98" s="55" t="s">
        <v>465</v>
      </c>
      <c r="C98" s="56">
        <v>28000.0</v>
      </c>
      <c r="D98" s="57">
        <f t="shared" si="1"/>
        <v>27160</v>
      </c>
      <c r="E98" s="58"/>
      <c r="F98" s="58"/>
    </row>
    <row r="99" ht="14.25" customHeight="1">
      <c r="A99" s="64">
        <v>2.406220006E9</v>
      </c>
      <c r="B99" s="60" t="s">
        <v>467</v>
      </c>
      <c r="C99" s="61">
        <v>21000.0</v>
      </c>
      <c r="D99" s="62">
        <f t="shared" si="1"/>
        <v>20370</v>
      </c>
      <c r="E99" s="58">
        <v>6.0</v>
      </c>
      <c r="F99" s="58"/>
      <c r="G99" s="34"/>
    </row>
    <row r="100" ht="14.25" customHeight="1">
      <c r="A100" s="63" t="s">
        <v>330</v>
      </c>
      <c r="B100" s="55" t="s">
        <v>469</v>
      </c>
      <c r="C100" s="56">
        <v>22000.0</v>
      </c>
      <c r="D100" s="57">
        <f t="shared" si="1"/>
        <v>21340</v>
      </c>
      <c r="E100" s="58"/>
      <c r="F100" s="58"/>
      <c r="G100" s="34"/>
    </row>
    <row r="101" ht="14.25" customHeight="1">
      <c r="A101" s="64" t="s">
        <v>470</v>
      </c>
      <c r="B101" s="60" t="s">
        <v>471</v>
      </c>
      <c r="C101" s="61">
        <v>23000.0</v>
      </c>
      <c r="D101" s="62">
        <f t="shared" si="1"/>
        <v>22310</v>
      </c>
      <c r="E101" s="58"/>
      <c r="F101" s="58"/>
      <c r="G101" s="34"/>
    </row>
    <row r="102" ht="14.25" customHeight="1">
      <c r="A102" s="63" t="s">
        <v>330</v>
      </c>
      <c r="B102" s="55" t="s">
        <v>473</v>
      </c>
      <c r="C102" s="56">
        <v>19500.0</v>
      </c>
      <c r="D102" s="57">
        <f t="shared" si="1"/>
        <v>18915</v>
      </c>
      <c r="E102" s="58">
        <v>0.0</v>
      </c>
      <c r="F102" s="58"/>
      <c r="G102" s="34"/>
    </row>
    <row r="103" ht="14.25" customHeight="1">
      <c r="A103" s="59">
        <v>85693.0</v>
      </c>
      <c r="B103" s="60" t="s">
        <v>475</v>
      </c>
      <c r="C103" s="61">
        <v>65000.0</v>
      </c>
      <c r="D103" s="62">
        <f t="shared" si="1"/>
        <v>63050</v>
      </c>
      <c r="E103" s="58"/>
      <c r="F103" s="58"/>
    </row>
    <row r="104" ht="14.25" customHeight="1">
      <c r="A104" s="114" t="s">
        <v>477</v>
      </c>
      <c r="B104" s="55" t="s">
        <v>478</v>
      </c>
      <c r="C104" s="56">
        <v>69000.0</v>
      </c>
      <c r="D104" s="57">
        <f t="shared" si="1"/>
        <v>66930</v>
      </c>
      <c r="E104" s="58">
        <v>2.0</v>
      </c>
      <c r="F104" s="58"/>
    </row>
    <row r="105" ht="18.75" customHeight="1">
      <c r="A105" s="64">
        <v>37676.0</v>
      </c>
      <c r="B105" s="82" t="s">
        <v>482</v>
      </c>
      <c r="C105" s="61">
        <v>62900.0</v>
      </c>
      <c r="D105" s="62">
        <f t="shared" si="1"/>
        <v>61013</v>
      </c>
      <c r="E105" s="58">
        <v>2.0</v>
      </c>
      <c r="F105" s="58"/>
    </row>
    <row r="106" ht="14.25" customHeight="1">
      <c r="A106" s="63" t="s">
        <v>483</v>
      </c>
      <c r="B106" s="55" t="s">
        <v>484</v>
      </c>
      <c r="C106" s="56">
        <v>96000.0</v>
      </c>
      <c r="D106" s="57">
        <f t="shared" si="1"/>
        <v>93120</v>
      </c>
      <c r="E106" s="58"/>
      <c r="F106" s="58"/>
      <c r="G106" s="34"/>
    </row>
    <row r="107" ht="14.25" customHeight="1">
      <c r="A107" s="64" t="s">
        <v>486</v>
      </c>
      <c r="B107" s="60" t="s">
        <v>487</v>
      </c>
      <c r="C107" s="61">
        <v>85000.0</v>
      </c>
      <c r="D107" s="62">
        <f t="shared" si="1"/>
        <v>82450</v>
      </c>
      <c r="E107" s="58"/>
      <c r="F107" s="58"/>
      <c r="G107" s="34"/>
    </row>
    <row r="108" ht="14.25" customHeight="1">
      <c r="A108" s="63" t="s">
        <v>489</v>
      </c>
      <c r="B108" s="55" t="s">
        <v>490</v>
      </c>
      <c r="C108" s="56">
        <v>101000.0</v>
      </c>
      <c r="D108" s="89">
        <v>105000.0</v>
      </c>
      <c r="E108" s="58"/>
      <c r="F108" s="58"/>
      <c r="G108" s="34"/>
    </row>
    <row r="109" ht="14.25" customHeight="1">
      <c r="A109" s="64">
        <v>37532.0</v>
      </c>
      <c r="B109" s="60" t="s">
        <v>492</v>
      </c>
      <c r="C109" s="61">
        <v>38000.0</v>
      </c>
      <c r="D109" s="62">
        <f t="shared" ref="D109:D144" si="2">C109*0.97</f>
        <v>36860</v>
      </c>
      <c r="E109" s="58"/>
      <c r="F109" s="58"/>
    </row>
    <row r="110" ht="14.25" customHeight="1">
      <c r="A110" s="63" t="s">
        <v>494</v>
      </c>
      <c r="B110" s="67" t="s">
        <v>496</v>
      </c>
      <c r="C110" s="56">
        <v>43900.0</v>
      </c>
      <c r="D110" s="57">
        <f t="shared" si="2"/>
        <v>42583</v>
      </c>
      <c r="E110" s="58">
        <v>3.0</v>
      </c>
      <c r="F110" s="58"/>
    </row>
    <row r="111" ht="14.25" customHeight="1">
      <c r="A111" s="64" t="s">
        <v>498</v>
      </c>
      <c r="B111" s="60" t="s">
        <v>499</v>
      </c>
      <c r="C111" s="61">
        <v>49500.0</v>
      </c>
      <c r="D111" s="62">
        <f t="shared" si="2"/>
        <v>48015</v>
      </c>
      <c r="E111" s="58"/>
      <c r="F111" s="58"/>
    </row>
    <row r="112" ht="14.25" customHeight="1">
      <c r="A112" s="114" t="s">
        <v>501</v>
      </c>
      <c r="B112" s="55" t="s">
        <v>502</v>
      </c>
      <c r="C112" s="56">
        <v>32000.0</v>
      </c>
      <c r="D112" s="57">
        <f t="shared" si="2"/>
        <v>31040</v>
      </c>
      <c r="E112" s="58">
        <v>0.0</v>
      </c>
      <c r="F112" s="58"/>
    </row>
    <row r="113" ht="14.25" customHeight="1">
      <c r="A113" s="64">
        <v>37592.0</v>
      </c>
      <c r="B113" s="82" t="s">
        <v>503</v>
      </c>
      <c r="C113" s="61">
        <v>45000.0</v>
      </c>
      <c r="D113" s="62">
        <f t="shared" si="2"/>
        <v>43650</v>
      </c>
      <c r="E113" s="58">
        <v>0.0</v>
      </c>
      <c r="F113" s="58"/>
    </row>
    <row r="114" ht="14.25" customHeight="1">
      <c r="A114" s="114"/>
      <c r="B114" s="55" t="s">
        <v>506</v>
      </c>
      <c r="C114" s="56">
        <v>32000.0</v>
      </c>
      <c r="D114" s="57">
        <f t="shared" si="2"/>
        <v>31040</v>
      </c>
      <c r="E114" s="58"/>
      <c r="F114" s="58"/>
    </row>
    <row r="115" ht="14.25" customHeight="1">
      <c r="A115" s="59" t="s">
        <v>509</v>
      </c>
      <c r="B115" s="60" t="s">
        <v>510</v>
      </c>
      <c r="C115" s="61">
        <v>53000.0</v>
      </c>
      <c r="D115" s="62">
        <f t="shared" si="2"/>
        <v>51410</v>
      </c>
      <c r="E115" s="58"/>
      <c r="F115" s="58"/>
    </row>
    <row r="116" ht="14.25" customHeight="1">
      <c r="A116" s="63">
        <v>37616.0</v>
      </c>
      <c r="B116" s="67" t="s">
        <v>515</v>
      </c>
      <c r="C116" s="56">
        <v>48000.0</v>
      </c>
      <c r="D116" s="57">
        <f t="shared" si="2"/>
        <v>46560</v>
      </c>
      <c r="E116" s="58">
        <v>0.0</v>
      </c>
      <c r="F116" s="58"/>
    </row>
    <row r="117" ht="14.25" customHeight="1">
      <c r="A117" s="59" t="s">
        <v>519</v>
      </c>
      <c r="B117" s="60" t="s">
        <v>520</v>
      </c>
      <c r="C117" s="61">
        <v>57000.0</v>
      </c>
      <c r="D117" s="62">
        <f t="shared" si="2"/>
        <v>55290</v>
      </c>
      <c r="E117" s="58"/>
      <c r="F117" s="58"/>
    </row>
    <row r="118" ht="14.25" customHeight="1">
      <c r="A118" s="63"/>
      <c r="B118" s="55" t="s">
        <v>522</v>
      </c>
      <c r="C118" s="56">
        <v>32000.0</v>
      </c>
      <c r="D118" s="57">
        <f t="shared" si="2"/>
        <v>31040</v>
      </c>
      <c r="E118" s="58"/>
      <c r="F118" s="58"/>
    </row>
    <row r="119" ht="14.25" customHeight="1">
      <c r="A119" s="64">
        <v>37673.0</v>
      </c>
      <c r="B119" s="60" t="s">
        <v>525</v>
      </c>
      <c r="C119" s="61">
        <v>32000.0</v>
      </c>
      <c r="D119" s="62">
        <f t="shared" si="2"/>
        <v>31040</v>
      </c>
      <c r="E119" s="58"/>
      <c r="F119" s="58"/>
    </row>
    <row r="120" ht="14.25" customHeight="1">
      <c r="A120" s="63">
        <v>37630.0</v>
      </c>
      <c r="B120" s="67" t="s">
        <v>528</v>
      </c>
      <c r="C120" s="56">
        <v>50000.0</v>
      </c>
      <c r="D120" s="57">
        <f t="shared" si="2"/>
        <v>48500</v>
      </c>
      <c r="E120" s="58">
        <v>0.0</v>
      </c>
      <c r="F120" s="58"/>
    </row>
    <row r="121" ht="14.25" customHeight="1">
      <c r="A121" s="59" t="s">
        <v>531</v>
      </c>
      <c r="B121" s="60" t="s">
        <v>532</v>
      </c>
      <c r="C121" s="61">
        <v>61000.0</v>
      </c>
      <c r="D121" s="62">
        <f t="shared" si="2"/>
        <v>59170</v>
      </c>
      <c r="E121" s="58"/>
      <c r="F121" s="58"/>
      <c r="G121" s="34"/>
    </row>
    <row r="122" ht="14.25" customHeight="1">
      <c r="A122" s="63">
        <v>37640.0</v>
      </c>
      <c r="B122" s="153" t="s">
        <v>536</v>
      </c>
      <c r="C122" s="56">
        <v>61000.0</v>
      </c>
      <c r="D122" s="57">
        <f t="shared" si="2"/>
        <v>59170</v>
      </c>
      <c r="E122" s="58">
        <v>0.0</v>
      </c>
      <c r="F122" s="58"/>
      <c r="G122" s="34"/>
    </row>
    <row r="123" ht="14.25" customHeight="1">
      <c r="A123" s="59" t="s">
        <v>543</v>
      </c>
      <c r="B123" s="60" t="s">
        <v>544</v>
      </c>
      <c r="C123" s="61">
        <v>85000.0</v>
      </c>
      <c r="D123" s="62">
        <f t="shared" si="2"/>
        <v>82450</v>
      </c>
      <c r="E123" s="58">
        <v>3.0</v>
      </c>
      <c r="F123" s="58"/>
    </row>
    <row r="124" ht="14.25" customHeight="1">
      <c r="A124" s="63" t="s">
        <v>547</v>
      </c>
      <c r="B124" s="55" t="s">
        <v>548</v>
      </c>
      <c r="C124" s="56">
        <v>71000.0</v>
      </c>
      <c r="D124" s="57">
        <f t="shared" si="2"/>
        <v>68870</v>
      </c>
      <c r="E124" s="58"/>
      <c r="F124" s="58"/>
      <c r="G124" s="34"/>
    </row>
    <row r="125" ht="14.25" customHeight="1">
      <c r="A125" s="64" t="s">
        <v>550</v>
      </c>
      <c r="B125" s="60" t="s">
        <v>552</v>
      </c>
      <c r="C125" s="61">
        <v>92000.0</v>
      </c>
      <c r="D125" s="62">
        <f t="shared" si="2"/>
        <v>89240</v>
      </c>
      <c r="E125" s="58"/>
      <c r="F125" s="58"/>
      <c r="G125" s="34"/>
    </row>
    <row r="126" ht="14.25" customHeight="1">
      <c r="A126" s="114" t="s">
        <v>555</v>
      </c>
      <c r="B126" s="55" t="s">
        <v>556</v>
      </c>
      <c r="C126" s="56">
        <v>98000.0</v>
      </c>
      <c r="D126" s="57">
        <f t="shared" si="2"/>
        <v>95060</v>
      </c>
      <c r="E126" s="58"/>
      <c r="F126" s="58"/>
      <c r="G126" s="34"/>
    </row>
    <row r="127" ht="14.25" customHeight="1">
      <c r="A127" s="64"/>
      <c r="B127" s="60" t="s">
        <v>560</v>
      </c>
      <c r="C127" s="61">
        <v>88000.0</v>
      </c>
      <c r="D127" s="62">
        <f t="shared" si="2"/>
        <v>85360</v>
      </c>
      <c r="E127" s="58"/>
      <c r="F127" s="58"/>
    </row>
    <row r="128" ht="14.25" customHeight="1">
      <c r="A128" s="63">
        <v>37540.0</v>
      </c>
      <c r="B128" s="55" t="s">
        <v>563</v>
      </c>
      <c r="C128" s="56">
        <v>32000.0</v>
      </c>
      <c r="D128" s="57">
        <f t="shared" si="2"/>
        <v>31040</v>
      </c>
      <c r="E128" s="58">
        <v>0.0</v>
      </c>
      <c r="F128" s="58"/>
    </row>
    <row r="129" ht="14.25" customHeight="1">
      <c r="A129" s="64" t="s">
        <v>566</v>
      </c>
      <c r="B129" s="60" t="s">
        <v>499</v>
      </c>
      <c r="C129" s="61">
        <v>49500.0</v>
      </c>
      <c r="D129" s="62">
        <f t="shared" si="2"/>
        <v>48015</v>
      </c>
      <c r="E129" s="58"/>
      <c r="F129" s="58"/>
    </row>
    <row r="130" ht="14.25" customHeight="1">
      <c r="A130" s="63">
        <v>37593.0</v>
      </c>
      <c r="B130" s="67" t="s">
        <v>569</v>
      </c>
      <c r="C130" s="56">
        <v>44000.0</v>
      </c>
      <c r="D130" s="57">
        <f t="shared" si="2"/>
        <v>42680</v>
      </c>
      <c r="E130" s="58">
        <v>0.0</v>
      </c>
      <c r="F130" s="58"/>
    </row>
    <row r="131" ht="14.25" customHeight="1">
      <c r="A131" s="64">
        <v>37801.0</v>
      </c>
      <c r="B131" s="82" t="s">
        <v>577</v>
      </c>
      <c r="C131" s="61">
        <v>51000.0</v>
      </c>
      <c r="D131" s="98">
        <f t="shared" si="2"/>
        <v>49470</v>
      </c>
      <c r="E131" s="58">
        <v>3.0</v>
      </c>
      <c r="F131" s="58"/>
    </row>
    <row r="132" ht="14.25" customHeight="1">
      <c r="A132" s="114" t="s">
        <v>579</v>
      </c>
      <c r="B132" s="55" t="s">
        <v>581</v>
      </c>
      <c r="C132" s="56">
        <v>62000.0</v>
      </c>
      <c r="D132" s="89">
        <f t="shared" si="2"/>
        <v>60140</v>
      </c>
      <c r="E132" s="58">
        <v>0.0</v>
      </c>
      <c r="F132" s="58"/>
      <c r="G132" s="34"/>
    </row>
    <row r="133" ht="14.25" customHeight="1">
      <c r="A133" s="64">
        <v>37596.0</v>
      </c>
      <c r="B133" s="60" t="s">
        <v>583</v>
      </c>
      <c r="C133" s="61">
        <v>32000.0</v>
      </c>
      <c r="D133" s="62">
        <f t="shared" si="2"/>
        <v>31040</v>
      </c>
      <c r="E133" s="58"/>
      <c r="F133" s="58"/>
    </row>
    <row r="134" ht="14.25" customHeight="1">
      <c r="A134" s="63">
        <v>37626.0</v>
      </c>
      <c r="B134" s="163" t="s">
        <v>585</v>
      </c>
      <c r="C134" s="56">
        <v>56000.0</v>
      </c>
      <c r="D134" s="57">
        <f t="shared" si="2"/>
        <v>54320</v>
      </c>
      <c r="E134" s="58">
        <v>0.0</v>
      </c>
      <c r="F134" s="58"/>
    </row>
    <row r="135" ht="14.25" customHeight="1">
      <c r="A135" s="59" t="s">
        <v>600</v>
      </c>
      <c r="B135" s="60" t="s">
        <v>603</v>
      </c>
      <c r="C135" s="61">
        <v>69000.0</v>
      </c>
      <c r="D135" s="62">
        <f t="shared" si="2"/>
        <v>66930</v>
      </c>
      <c r="E135" s="58"/>
      <c r="F135" s="58"/>
      <c r="G135" s="34"/>
    </row>
    <row r="136" ht="14.25" customHeight="1">
      <c r="A136" s="63" t="s">
        <v>606</v>
      </c>
      <c r="B136" s="55" t="s">
        <v>608</v>
      </c>
      <c r="C136" s="56">
        <v>32000.0</v>
      </c>
      <c r="D136" s="57">
        <f t="shared" si="2"/>
        <v>31040</v>
      </c>
      <c r="E136" s="58"/>
      <c r="F136" s="58"/>
      <c r="G136" s="34"/>
    </row>
    <row r="137" ht="16.5" customHeight="1">
      <c r="A137" s="64" t="s">
        <v>611</v>
      </c>
      <c r="B137" s="82" t="s">
        <v>613</v>
      </c>
      <c r="C137" s="61">
        <v>66000.0</v>
      </c>
      <c r="D137" s="62">
        <f t="shared" si="2"/>
        <v>64020</v>
      </c>
      <c r="E137" s="58">
        <v>3.0</v>
      </c>
      <c r="F137" s="58"/>
    </row>
    <row r="138" ht="14.25" customHeight="1">
      <c r="A138" s="63">
        <v>2.508060001E9</v>
      </c>
      <c r="B138" s="55" t="s">
        <v>617</v>
      </c>
      <c r="C138" s="56">
        <v>71000.0</v>
      </c>
      <c r="D138" s="57">
        <f t="shared" si="2"/>
        <v>68870</v>
      </c>
      <c r="E138" s="58"/>
      <c r="F138" s="58"/>
      <c r="G138" s="34"/>
    </row>
    <row r="139" ht="14.25" customHeight="1">
      <c r="A139" s="64">
        <v>33589.0</v>
      </c>
      <c r="B139" s="60" t="s">
        <v>625</v>
      </c>
      <c r="C139" s="61">
        <v>67000.0</v>
      </c>
      <c r="D139" s="98">
        <f t="shared" si="2"/>
        <v>64990</v>
      </c>
      <c r="E139" s="58"/>
      <c r="F139" s="58"/>
      <c r="G139" s="34"/>
    </row>
    <row r="140" ht="14.25" customHeight="1">
      <c r="A140" s="114" t="s">
        <v>630</v>
      </c>
      <c r="B140" s="55" t="s">
        <v>632</v>
      </c>
      <c r="C140" s="56">
        <v>71000.0</v>
      </c>
      <c r="D140" s="89">
        <f t="shared" si="2"/>
        <v>68870</v>
      </c>
      <c r="E140" s="58"/>
      <c r="F140" s="58"/>
      <c r="G140" s="34"/>
    </row>
    <row r="141" ht="14.25" customHeight="1">
      <c r="A141" s="64"/>
      <c r="B141" s="60" t="s">
        <v>640</v>
      </c>
      <c r="C141" s="61">
        <v>78000.0</v>
      </c>
      <c r="D141" s="98">
        <f t="shared" si="2"/>
        <v>75660</v>
      </c>
      <c r="E141" s="58"/>
      <c r="F141" s="58"/>
      <c r="G141" s="34"/>
    </row>
    <row r="142" ht="14.25" customHeight="1">
      <c r="A142" s="63" t="s">
        <v>644</v>
      </c>
      <c r="B142" s="55" t="s">
        <v>645</v>
      </c>
      <c r="C142" s="56">
        <v>88000.0</v>
      </c>
      <c r="D142" s="89">
        <f t="shared" si="2"/>
        <v>85360</v>
      </c>
      <c r="E142" s="58"/>
      <c r="F142" s="58"/>
      <c r="G142" s="34"/>
    </row>
    <row r="143" ht="14.25" customHeight="1">
      <c r="A143" s="64" t="s">
        <v>650</v>
      </c>
      <c r="B143" s="60" t="s">
        <v>651</v>
      </c>
      <c r="C143" s="61">
        <v>169000.0</v>
      </c>
      <c r="D143" s="98">
        <f t="shared" si="2"/>
        <v>163930</v>
      </c>
      <c r="E143" s="58"/>
      <c r="F143" s="58"/>
      <c r="G143" s="34" t="s">
        <v>42</v>
      </c>
    </row>
    <row r="144" ht="14.25" customHeight="1">
      <c r="A144" s="63" t="s">
        <v>653</v>
      </c>
      <c r="B144" s="55" t="s">
        <v>654</v>
      </c>
      <c r="C144" s="56">
        <v>92000.0</v>
      </c>
      <c r="D144" s="89">
        <f t="shared" si="2"/>
        <v>89240</v>
      </c>
      <c r="E144" s="58"/>
      <c r="F144" s="58"/>
      <c r="G144" s="34"/>
    </row>
    <row r="145" ht="14.25" customHeight="1">
      <c r="A145" s="59" t="s">
        <v>655</v>
      </c>
      <c r="B145" s="60" t="s">
        <v>656</v>
      </c>
      <c r="C145" s="61">
        <v>106000.0</v>
      </c>
      <c r="D145" s="98">
        <v>106700.0</v>
      </c>
      <c r="E145" s="58"/>
      <c r="F145" s="58"/>
      <c r="G145" s="34" t="s">
        <v>42</v>
      </c>
    </row>
    <row r="146" ht="14.25" customHeight="1">
      <c r="A146" s="63" t="s">
        <v>658</v>
      </c>
      <c r="B146" s="55" t="s">
        <v>660</v>
      </c>
      <c r="C146" s="56">
        <v>205000.0</v>
      </c>
      <c r="D146" s="89">
        <f t="shared" ref="D146:D147" si="3">C146*0.97</f>
        <v>198850</v>
      </c>
      <c r="E146" s="58"/>
      <c r="F146" s="58"/>
      <c r="G146" s="34"/>
    </row>
    <row r="147" ht="14.25" customHeight="1">
      <c r="A147" s="64" t="s">
        <v>664</v>
      </c>
      <c r="B147" s="60" t="s">
        <v>665</v>
      </c>
      <c r="C147" s="61">
        <v>37900.0</v>
      </c>
      <c r="D147" s="98">
        <f t="shared" si="3"/>
        <v>36763</v>
      </c>
      <c r="E147" s="58"/>
      <c r="F147" s="58"/>
      <c r="G147" s="34"/>
    </row>
    <row r="148" ht="14.25" customHeight="1">
      <c r="A148" s="63" t="s">
        <v>667</v>
      </c>
      <c r="B148" s="55" t="s">
        <v>669</v>
      </c>
      <c r="C148" s="56">
        <v>32000.0</v>
      </c>
      <c r="D148" s="89">
        <v>32000.0</v>
      </c>
      <c r="E148" s="58"/>
      <c r="F148" s="58"/>
      <c r="G148" s="34" t="s">
        <v>670</v>
      </c>
    </row>
    <row r="149" ht="14.25" customHeight="1">
      <c r="A149" s="64">
        <v>37625.0</v>
      </c>
      <c r="B149" s="60" t="s">
        <v>671</v>
      </c>
      <c r="C149" s="61">
        <v>67000.0</v>
      </c>
      <c r="D149" s="62">
        <f t="shared" ref="D149:D153" si="4">C149*0.97</f>
        <v>64990</v>
      </c>
      <c r="E149" s="58"/>
      <c r="F149" s="58"/>
    </row>
    <row r="150" ht="14.25" customHeight="1">
      <c r="A150" s="114" t="s">
        <v>673</v>
      </c>
      <c r="B150" s="55" t="s">
        <v>674</v>
      </c>
      <c r="C150" s="56">
        <v>79000.0</v>
      </c>
      <c r="D150" s="57">
        <f t="shared" si="4"/>
        <v>76630</v>
      </c>
      <c r="E150" s="58"/>
      <c r="F150" s="58"/>
    </row>
    <row r="151" ht="14.25" customHeight="1">
      <c r="A151" s="59" t="s">
        <v>675</v>
      </c>
      <c r="B151" s="82" t="s">
        <v>676</v>
      </c>
      <c r="C151" s="61">
        <v>16900.0</v>
      </c>
      <c r="D151" s="62">
        <f t="shared" si="4"/>
        <v>16393</v>
      </c>
      <c r="E151" s="58">
        <v>0.0</v>
      </c>
      <c r="F151" s="58"/>
    </row>
    <row r="152" ht="14.25" customHeight="1">
      <c r="A152" s="63">
        <v>37395.0</v>
      </c>
      <c r="B152" s="55" t="s">
        <v>678</v>
      </c>
      <c r="C152" s="56">
        <v>15000.0</v>
      </c>
      <c r="D152" s="57">
        <f t="shared" si="4"/>
        <v>14550</v>
      </c>
      <c r="E152" s="58">
        <v>1.0</v>
      </c>
      <c r="F152" s="58"/>
    </row>
    <row r="153" ht="14.25" customHeight="1">
      <c r="A153" s="64">
        <v>37358.0</v>
      </c>
      <c r="B153" s="82" t="s">
        <v>680</v>
      </c>
      <c r="C153" s="61">
        <v>33000.0</v>
      </c>
      <c r="D153" s="62">
        <f t="shared" si="4"/>
        <v>32010</v>
      </c>
      <c r="E153" s="58">
        <v>10.0</v>
      </c>
      <c r="F153" s="58"/>
    </row>
    <row r="154" ht="14.25" customHeight="1">
      <c r="A154" s="114" t="s">
        <v>682</v>
      </c>
      <c r="B154" s="55" t="s">
        <v>683</v>
      </c>
      <c r="C154" s="56">
        <v>15000.0</v>
      </c>
      <c r="D154" s="89">
        <v>15000.0</v>
      </c>
      <c r="E154" s="58">
        <v>0.0</v>
      </c>
      <c r="F154" s="58"/>
      <c r="G154" s="34"/>
    </row>
    <row r="155" ht="14.25" customHeight="1">
      <c r="A155" s="64">
        <v>37366.0</v>
      </c>
      <c r="B155" s="60" t="s">
        <v>685</v>
      </c>
      <c r="C155" s="61">
        <v>30000.0</v>
      </c>
      <c r="D155" s="98">
        <v>30000.0</v>
      </c>
      <c r="E155" s="58"/>
      <c r="F155" s="58"/>
      <c r="G155" s="34" t="s">
        <v>670</v>
      </c>
    </row>
    <row r="156" ht="14.25" customHeight="1">
      <c r="A156" s="63">
        <v>37501.0</v>
      </c>
      <c r="B156" s="67" t="s">
        <v>689</v>
      </c>
      <c r="C156" s="56">
        <v>16900.0</v>
      </c>
      <c r="D156" s="57">
        <f t="shared" ref="D156:D177" si="5">C156*0.97</f>
        <v>16393</v>
      </c>
      <c r="E156" s="58"/>
      <c r="F156" s="58"/>
    </row>
    <row r="157" ht="14.25" customHeight="1">
      <c r="A157" s="64">
        <v>37277.0</v>
      </c>
      <c r="B157" s="60" t="s">
        <v>692</v>
      </c>
      <c r="C157" s="61">
        <v>14000.0</v>
      </c>
      <c r="D157" s="62">
        <f t="shared" si="5"/>
        <v>13580</v>
      </c>
      <c r="E157" s="58"/>
      <c r="F157" s="58"/>
    </row>
    <row r="158" ht="14.25" customHeight="1">
      <c r="A158" s="114" t="s">
        <v>694</v>
      </c>
      <c r="B158" s="55" t="s">
        <v>695</v>
      </c>
      <c r="C158" s="56">
        <v>15000.0</v>
      </c>
      <c r="D158" s="57">
        <f t="shared" si="5"/>
        <v>14550</v>
      </c>
      <c r="E158" s="58">
        <v>7.0</v>
      </c>
      <c r="F158" s="58"/>
    </row>
    <row r="159" ht="14.25" customHeight="1">
      <c r="A159" s="64">
        <v>1245.0</v>
      </c>
      <c r="B159" s="82" t="s">
        <v>697</v>
      </c>
      <c r="C159" s="61">
        <v>33000.0</v>
      </c>
      <c r="D159" s="62">
        <f t="shared" si="5"/>
        <v>32010</v>
      </c>
      <c r="E159" s="58">
        <v>0.0</v>
      </c>
      <c r="F159" s="58"/>
    </row>
    <row r="160" ht="14.25" customHeight="1">
      <c r="A160" s="63"/>
      <c r="B160" s="55" t="s">
        <v>698</v>
      </c>
      <c r="C160" s="56">
        <v>33000.0</v>
      </c>
      <c r="D160" s="57">
        <f t="shared" si="5"/>
        <v>32010</v>
      </c>
      <c r="E160" s="58"/>
      <c r="F160" s="58"/>
    </row>
    <row r="161" ht="14.25" customHeight="1">
      <c r="A161" s="64">
        <v>37231.0</v>
      </c>
      <c r="B161" s="82" t="s">
        <v>701</v>
      </c>
      <c r="C161" s="61">
        <v>17500.0</v>
      </c>
      <c r="D161" s="62">
        <f t="shared" si="5"/>
        <v>16975</v>
      </c>
      <c r="E161" s="58"/>
      <c r="F161" s="58"/>
    </row>
    <row r="162" ht="14.25" customHeight="1">
      <c r="A162" s="63">
        <v>37557.0</v>
      </c>
      <c r="B162" s="55" t="s">
        <v>703</v>
      </c>
      <c r="C162" s="56">
        <v>17500.0</v>
      </c>
      <c r="D162" s="57">
        <f t="shared" si="5"/>
        <v>16975</v>
      </c>
      <c r="E162" s="58"/>
      <c r="F162" s="58"/>
    </row>
    <row r="163" ht="14.25" customHeight="1">
      <c r="A163" s="64">
        <v>37368.0</v>
      </c>
      <c r="B163" s="82" t="s">
        <v>705</v>
      </c>
      <c r="C163" s="61">
        <v>33000.0</v>
      </c>
      <c r="D163" s="62">
        <f t="shared" si="5"/>
        <v>32010</v>
      </c>
      <c r="E163" s="58">
        <v>10.0</v>
      </c>
      <c r="F163" s="58"/>
    </row>
    <row r="164" ht="14.25" customHeight="1">
      <c r="A164" s="63">
        <v>37582.0</v>
      </c>
      <c r="B164" s="55" t="s">
        <v>708</v>
      </c>
      <c r="C164" s="56">
        <v>33000.0</v>
      </c>
      <c r="D164" s="57">
        <f t="shared" si="5"/>
        <v>32010</v>
      </c>
      <c r="E164" s="58"/>
      <c r="F164" s="58"/>
      <c r="G164" s="34"/>
    </row>
    <row r="165" ht="14.25" customHeight="1">
      <c r="A165" s="64">
        <v>37384.0</v>
      </c>
      <c r="B165" s="60" t="s">
        <v>711</v>
      </c>
      <c r="C165" s="61">
        <v>45000.0</v>
      </c>
      <c r="D165" s="62">
        <f t="shared" si="5"/>
        <v>43650</v>
      </c>
      <c r="E165" s="58"/>
      <c r="F165" s="58"/>
      <c r="G165" s="34"/>
    </row>
    <row r="166" ht="14.25" customHeight="1">
      <c r="A166" s="63" t="s">
        <v>713</v>
      </c>
      <c r="B166" s="55" t="s">
        <v>714</v>
      </c>
      <c r="C166" s="56">
        <v>25000.0</v>
      </c>
      <c r="D166" s="57">
        <f t="shared" si="5"/>
        <v>24250</v>
      </c>
      <c r="E166" s="58"/>
      <c r="F166" s="58"/>
    </row>
    <row r="167" ht="14.25" customHeight="1">
      <c r="A167" s="64">
        <v>37627.0</v>
      </c>
      <c r="B167" s="82" t="s">
        <v>716</v>
      </c>
      <c r="C167" s="61">
        <v>71000.0</v>
      </c>
      <c r="D167" s="62">
        <f t="shared" si="5"/>
        <v>68870</v>
      </c>
      <c r="E167" s="58">
        <v>3.0</v>
      </c>
      <c r="F167" s="58"/>
    </row>
    <row r="168" ht="14.25" customHeight="1">
      <c r="A168" s="63"/>
      <c r="B168" s="55" t="s">
        <v>718</v>
      </c>
      <c r="C168" s="56">
        <v>85000.0</v>
      </c>
      <c r="D168" s="57">
        <f t="shared" si="5"/>
        <v>82450</v>
      </c>
      <c r="E168" s="58"/>
      <c r="F168" s="58"/>
      <c r="G168" s="34"/>
    </row>
    <row r="169" ht="14.25" customHeight="1">
      <c r="A169" s="64" t="s">
        <v>721</v>
      </c>
      <c r="B169" s="60" t="s">
        <v>722</v>
      </c>
      <c r="C169" s="61">
        <v>115000.0</v>
      </c>
      <c r="D169" s="62">
        <f t="shared" si="5"/>
        <v>111550</v>
      </c>
      <c r="E169" s="58"/>
      <c r="F169" s="58"/>
      <c r="G169" s="34"/>
    </row>
    <row r="170" ht="14.25" customHeight="1">
      <c r="A170" s="63">
        <v>37999.0</v>
      </c>
      <c r="B170" s="55" t="s">
        <v>724</v>
      </c>
      <c r="C170" s="56">
        <v>110000.0</v>
      </c>
      <c r="D170" s="57">
        <f t="shared" si="5"/>
        <v>106700</v>
      </c>
      <c r="E170" s="58"/>
      <c r="F170" s="58"/>
      <c r="G170" s="34"/>
    </row>
    <row r="171" ht="14.25" customHeight="1">
      <c r="A171" s="59" t="s">
        <v>726</v>
      </c>
      <c r="B171" s="60" t="s">
        <v>727</v>
      </c>
      <c r="C171" s="61">
        <v>270000.0</v>
      </c>
      <c r="D171" s="62">
        <f t="shared" si="5"/>
        <v>261900</v>
      </c>
      <c r="E171" s="58"/>
      <c r="F171" s="58"/>
      <c r="G171" s="34" t="s">
        <v>78</v>
      </c>
    </row>
    <row r="172" ht="14.25" customHeight="1">
      <c r="A172" s="63" t="s">
        <v>729</v>
      </c>
      <c r="B172" s="55" t="s">
        <v>731</v>
      </c>
      <c r="C172" s="56">
        <v>290000.0</v>
      </c>
      <c r="D172" s="57">
        <f t="shared" si="5"/>
        <v>281300</v>
      </c>
      <c r="E172" s="58"/>
      <c r="F172" s="58"/>
    </row>
    <row r="173" ht="14.25" customHeight="1">
      <c r="A173" s="64" t="s">
        <v>734</v>
      </c>
      <c r="B173" s="60" t="s">
        <v>735</v>
      </c>
      <c r="C173" s="61">
        <v>295000.0</v>
      </c>
      <c r="D173" s="62">
        <f t="shared" si="5"/>
        <v>286150</v>
      </c>
      <c r="E173" s="58"/>
      <c r="F173" s="58"/>
    </row>
    <row r="174" ht="14.25" customHeight="1">
      <c r="A174" s="63" t="s">
        <v>743</v>
      </c>
      <c r="B174" s="55" t="s">
        <v>744</v>
      </c>
      <c r="C174" s="56">
        <v>163000.0</v>
      </c>
      <c r="D174" s="57">
        <f t="shared" si="5"/>
        <v>158110</v>
      </c>
      <c r="E174" s="58"/>
      <c r="F174" s="58"/>
    </row>
    <row r="175" ht="14.25" customHeight="1">
      <c r="A175" s="64">
        <v>2.502180066E9</v>
      </c>
      <c r="B175" s="60" t="s">
        <v>748</v>
      </c>
      <c r="C175" s="61">
        <v>310000.0</v>
      </c>
      <c r="D175" s="62">
        <f t="shared" si="5"/>
        <v>300700</v>
      </c>
      <c r="E175" s="58"/>
      <c r="F175" s="58"/>
    </row>
    <row r="176" ht="14.25" customHeight="1">
      <c r="A176" s="63" t="s">
        <v>751</v>
      </c>
      <c r="B176" s="55" t="s">
        <v>753</v>
      </c>
      <c r="C176" s="56">
        <v>370000.0</v>
      </c>
      <c r="D176" s="57">
        <f t="shared" si="5"/>
        <v>358900</v>
      </c>
      <c r="E176" s="58"/>
      <c r="F176" s="58"/>
    </row>
    <row r="177" ht="14.25" customHeight="1">
      <c r="A177" s="64" t="s">
        <v>756</v>
      </c>
      <c r="B177" s="60" t="s">
        <v>757</v>
      </c>
      <c r="C177" s="61">
        <v>395000.0</v>
      </c>
      <c r="D177" s="62">
        <f t="shared" si="5"/>
        <v>383150</v>
      </c>
      <c r="E177" s="58">
        <v>4.0</v>
      </c>
      <c r="F177" s="58"/>
      <c r="G177" s="34" t="s">
        <v>670</v>
      </c>
    </row>
    <row r="178" ht="55.5" customHeight="1">
      <c r="A178" s="194"/>
      <c r="B178" s="196"/>
      <c r="C178" s="100"/>
      <c r="D178" s="101"/>
      <c r="E178" s="58">
        <v>1.0</v>
      </c>
      <c r="F178" s="58"/>
    </row>
    <row r="179" ht="27.75" customHeight="1">
      <c r="A179" s="199" t="s">
        <v>774</v>
      </c>
      <c r="B179" s="199" t="s">
        <v>787</v>
      </c>
      <c r="C179" s="201" t="s">
        <v>9</v>
      </c>
      <c r="D179" s="201" t="s">
        <v>793</v>
      </c>
      <c r="E179" s="58"/>
      <c r="F179" s="58"/>
    </row>
    <row r="180" ht="14.25" hidden="1" customHeight="1">
      <c r="A180" s="203"/>
      <c r="B180" s="204" t="s">
        <v>804</v>
      </c>
      <c r="C180" s="205">
        <v>11500.0</v>
      </c>
      <c r="D180" s="206">
        <f t="shared" ref="D180:D193" si="6">C180*0.97</f>
        <v>11155</v>
      </c>
      <c r="E180" s="58"/>
      <c r="F180" s="58"/>
    </row>
    <row r="181" ht="14.25" customHeight="1">
      <c r="A181" s="63">
        <v>35022.0</v>
      </c>
      <c r="B181" s="67" t="s">
        <v>820</v>
      </c>
      <c r="C181" s="90">
        <v>13700.0</v>
      </c>
      <c r="D181" s="57">
        <f t="shared" si="6"/>
        <v>13289</v>
      </c>
      <c r="E181" s="58">
        <v>0.0</v>
      </c>
      <c r="F181" s="58"/>
    </row>
    <row r="182" ht="14.25" customHeight="1">
      <c r="A182" s="207">
        <v>35023.0</v>
      </c>
      <c r="B182" s="204" t="s">
        <v>826</v>
      </c>
      <c r="C182" s="218">
        <v>15900.0</v>
      </c>
      <c r="D182" s="206">
        <f t="shared" si="6"/>
        <v>15423</v>
      </c>
      <c r="E182" s="58">
        <v>0.0</v>
      </c>
      <c r="F182" s="58"/>
      <c r="G182" s="34" t="s">
        <v>78</v>
      </c>
    </row>
    <row r="183" ht="14.25" customHeight="1">
      <c r="A183" s="63">
        <v>35043.0</v>
      </c>
      <c r="B183" s="55" t="s">
        <v>867</v>
      </c>
      <c r="C183" s="56">
        <v>18000.0</v>
      </c>
      <c r="D183" s="57">
        <f t="shared" si="6"/>
        <v>17460</v>
      </c>
      <c r="E183" s="58">
        <v>0.0</v>
      </c>
      <c r="F183" s="58"/>
    </row>
    <row r="184" ht="14.25" customHeight="1">
      <c r="A184" s="207">
        <v>35072.0</v>
      </c>
      <c r="B184" s="204" t="s">
        <v>869</v>
      </c>
      <c r="C184" s="218">
        <v>17900.0</v>
      </c>
      <c r="D184" s="206">
        <f t="shared" si="6"/>
        <v>17363</v>
      </c>
      <c r="E184" s="58">
        <v>1.0</v>
      </c>
      <c r="F184" s="58"/>
    </row>
    <row r="185" ht="14.25" customHeight="1">
      <c r="A185" s="63">
        <v>35057.0</v>
      </c>
      <c r="B185" s="67" t="s">
        <v>870</v>
      </c>
      <c r="C185" s="56">
        <v>18500.0</v>
      </c>
      <c r="D185" s="57">
        <f t="shared" si="6"/>
        <v>17945</v>
      </c>
      <c r="E185" s="58">
        <v>0.0</v>
      </c>
      <c r="F185" s="58"/>
    </row>
    <row r="186" ht="14.25" customHeight="1">
      <c r="A186" s="207">
        <v>35075.0</v>
      </c>
      <c r="B186" s="204" t="s">
        <v>871</v>
      </c>
      <c r="C186" s="218">
        <v>15000.0</v>
      </c>
      <c r="D186" s="206">
        <f t="shared" si="6"/>
        <v>14550</v>
      </c>
      <c r="E186" s="58">
        <v>0.0</v>
      </c>
      <c r="F186" s="58"/>
    </row>
    <row r="187" ht="14.25" customHeight="1">
      <c r="A187" s="63">
        <v>2.401230107E9</v>
      </c>
      <c r="B187" s="55" t="s">
        <v>874</v>
      </c>
      <c r="C187" s="56">
        <v>18000.0</v>
      </c>
      <c r="D187" s="57">
        <f t="shared" si="6"/>
        <v>17460</v>
      </c>
      <c r="E187" s="58"/>
      <c r="F187" s="58"/>
      <c r="G187" s="34"/>
    </row>
    <row r="188" ht="14.25" customHeight="1">
      <c r="A188" s="207" t="s">
        <v>876</v>
      </c>
      <c r="B188" s="236" t="s">
        <v>877</v>
      </c>
      <c r="C188" s="218">
        <v>25000.0</v>
      </c>
      <c r="D188" s="206">
        <f t="shared" si="6"/>
        <v>24250</v>
      </c>
      <c r="E188" s="58"/>
      <c r="F188" s="58"/>
      <c r="G188" s="34" t="s">
        <v>42</v>
      </c>
    </row>
    <row r="189" ht="14.25" customHeight="1">
      <c r="A189" s="63">
        <v>35087.0</v>
      </c>
      <c r="B189" s="67" t="s">
        <v>883</v>
      </c>
      <c r="C189" s="56">
        <v>16000.0</v>
      </c>
      <c r="D189" s="57">
        <f t="shared" si="6"/>
        <v>15520</v>
      </c>
      <c r="E189" s="58">
        <v>0.0</v>
      </c>
      <c r="F189" s="58"/>
    </row>
    <row r="190" ht="14.25" customHeight="1">
      <c r="A190" s="207">
        <v>2.401230785E9</v>
      </c>
      <c r="B190" s="236" t="s">
        <v>884</v>
      </c>
      <c r="C190" s="218">
        <v>18000.0</v>
      </c>
      <c r="D190" s="206">
        <f t="shared" si="6"/>
        <v>17460</v>
      </c>
      <c r="E190" s="58"/>
      <c r="F190" s="58"/>
    </row>
    <row r="191" ht="14.25" customHeight="1">
      <c r="A191" s="63" t="s">
        <v>886</v>
      </c>
      <c r="B191" s="55" t="s">
        <v>887</v>
      </c>
      <c r="C191" s="56">
        <v>18900.0</v>
      </c>
      <c r="D191" s="57">
        <f t="shared" si="6"/>
        <v>18333</v>
      </c>
      <c r="E191" s="58"/>
      <c r="F191" s="58"/>
    </row>
    <row r="192" ht="14.25" customHeight="1">
      <c r="A192" s="207">
        <v>14741.0</v>
      </c>
      <c r="B192" s="204" t="s">
        <v>889</v>
      </c>
      <c r="C192" s="218">
        <v>15900.0</v>
      </c>
      <c r="D192" s="206">
        <f t="shared" si="6"/>
        <v>15423</v>
      </c>
      <c r="E192" s="58">
        <v>0.0</v>
      </c>
      <c r="F192" s="58"/>
    </row>
    <row r="193" ht="14.25" hidden="1" customHeight="1">
      <c r="A193" s="63"/>
      <c r="B193" s="55" t="s">
        <v>892</v>
      </c>
      <c r="C193" s="56">
        <v>17000.0</v>
      </c>
      <c r="D193" s="57">
        <f t="shared" si="6"/>
        <v>16490</v>
      </c>
      <c r="E193" s="58"/>
      <c r="F193" s="58"/>
      <c r="G193" s="34"/>
    </row>
    <row r="194" ht="14.25" customHeight="1">
      <c r="A194" s="207" t="s">
        <v>894</v>
      </c>
      <c r="B194" s="236" t="s">
        <v>895</v>
      </c>
      <c r="C194" s="218">
        <v>19000.0</v>
      </c>
      <c r="D194" s="243">
        <v>19000.0</v>
      </c>
      <c r="E194" s="58">
        <v>0.0</v>
      </c>
      <c r="F194" s="58"/>
      <c r="G194" s="34" t="s">
        <v>670</v>
      </c>
    </row>
    <row r="195" ht="14.25" customHeight="1">
      <c r="A195" s="63">
        <v>35095.0</v>
      </c>
      <c r="B195" s="55" t="s">
        <v>898</v>
      </c>
      <c r="C195" s="56">
        <v>16000.0</v>
      </c>
      <c r="D195" s="57">
        <f t="shared" ref="D195:D217" si="7">C195*0.97</f>
        <v>15520</v>
      </c>
      <c r="E195" s="58">
        <v>4.0</v>
      </c>
      <c r="F195" s="58"/>
      <c r="G195" s="34"/>
    </row>
    <row r="196" ht="14.25" customHeight="1">
      <c r="A196" s="207" t="s">
        <v>694</v>
      </c>
      <c r="B196" s="236" t="s">
        <v>904</v>
      </c>
      <c r="C196" s="218">
        <v>18500.0</v>
      </c>
      <c r="D196" s="206">
        <f t="shared" si="7"/>
        <v>17945</v>
      </c>
      <c r="E196" s="58"/>
      <c r="F196" s="58"/>
    </row>
    <row r="197" ht="14.25" customHeight="1">
      <c r="A197" s="246" t="s">
        <v>906</v>
      </c>
      <c r="B197" s="247" t="s">
        <v>908</v>
      </c>
      <c r="C197" s="253">
        <v>22500.0</v>
      </c>
      <c r="D197" s="255">
        <f t="shared" si="7"/>
        <v>21825</v>
      </c>
      <c r="E197" s="58"/>
      <c r="F197" s="58"/>
    </row>
    <row r="198" ht="14.25" customHeight="1">
      <c r="A198" s="207" t="s">
        <v>922</v>
      </c>
      <c r="B198" s="236" t="s">
        <v>924</v>
      </c>
      <c r="C198" s="218">
        <v>19500.0</v>
      </c>
      <c r="D198" s="206">
        <f t="shared" si="7"/>
        <v>18915</v>
      </c>
      <c r="E198" s="58">
        <v>13.0</v>
      </c>
      <c r="F198" s="58"/>
    </row>
    <row r="199" ht="14.25" customHeight="1">
      <c r="A199" s="63" t="s">
        <v>926</v>
      </c>
      <c r="B199" s="55" t="s">
        <v>927</v>
      </c>
      <c r="C199" s="56">
        <v>16000.0</v>
      </c>
      <c r="D199" s="57">
        <f t="shared" si="7"/>
        <v>15520</v>
      </c>
      <c r="E199" s="58">
        <v>0.0</v>
      </c>
      <c r="F199" s="58"/>
    </row>
    <row r="200" ht="14.25" customHeight="1">
      <c r="A200" s="207" t="s">
        <v>928</v>
      </c>
      <c r="B200" s="236" t="s">
        <v>929</v>
      </c>
      <c r="C200" s="218">
        <v>18500.0</v>
      </c>
      <c r="D200" s="206">
        <f t="shared" si="7"/>
        <v>17945</v>
      </c>
      <c r="E200" s="58"/>
      <c r="F200" s="58"/>
    </row>
    <row r="201" ht="14.25" customHeight="1">
      <c r="A201" s="63" t="s">
        <v>932</v>
      </c>
      <c r="B201" s="55" t="s">
        <v>933</v>
      </c>
      <c r="C201" s="56">
        <v>23000.0</v>
      </c>
      <c r="D201" s="57">
        <f t="shared" si="7"/>
        <v>22310</v>
      </c>
      <c r="E201" s="58"/>
      <c r="F201" s="58"/>
    </row>
    <row r="202" ht="14.25" customHeight="1">
      <c r="A202" s="207">
        <v>35119.0</v>
      </c>
      <c r="B202" s="204" t="s">
        <v>936</v>
      </c>
      <c r="C202" s="218">
        <v>19500.0</v>
      </c>
      <c r="D202" s="206">
        <f t="shared" si="7"/>
        <v>18915</v>
      </c>
      <c r="E202" s="58">
        <v>4.0</v>
      </c>
      <c r="F202" s="58"/>
    </row>
    <row r="203" ht="14.25" customHeight="1">
      <c r="A203" s="63" t="s">
        <v>938</v>
      </c>
      <c r="B203" s="55" t="s">
        <v>939</v>
      </c>
      <c r="C203" s="56">
        <v>18500.0</v>
      </c>
      <c r="D203" s="57">
        <f t="shared" si="7"/>
        <v>17945</v>
      </c>
      <c r="E203" s="58">
        <v>13.0</v>
      </c>
      <c r="F203" s="58"/>
    </row>
    <row r="204" ht="14.25" customHeight="1">
      <c r="A204" s="207">
        <v>35113.0</v>
      </c>
      <c r="B204" s="204" t="s">
        <v>941</v>
      </c>
      <c r="C204" s="218">
        <v>15000.0</v>
      </c>
      <c r="D204" s="206">
        <f t="shared" si="7"/>
        <v>14550</v>
      </c>
      <c r="E204" s="58">
        <v>0.0</v>
      </c>
      <c r="F204" s="58"/>
      <c r="G204" s="34"/>
    </row>
    <row r="205" ht="14.25" customHeight="1">
      <c r="A205" s="63">
        <v>2.401251688E9</v>
      </c>
      <c r="B205" s="55" t="s">
        <v>943</v>
      </c>
      <c r="C205" s="56">
        <v>18500.0</v>
      </c>
      <c r="D205" s="57">
        <f t="shared" si="7"/>
        <v>17945</v>
      </c>
      <c r="E205" s="58"/>
      <c r="F205" s="58"/>
    </row>
    <row r="206" ht="14.25" customHeight="1">
      <c r="A206" s="207">
        <v>2.401232462E9</v>
      </c>
      <c r="B206" s="236" t="s">
        <v>945</v>
      </c>
      <c r="C206" s="218">
        <v>23000.0</v>
      </c>
      <c r="D206" s="206">
        <f t="shared" si="7"/>
        <v>22310</v>
      </c>
      <c r="E206" s="58"/>
      <c r="F206" s="58"/>
    </row>
    <row r="207" ht="14.25" customHeight="1">
      <c r="A207" s="63" t="s">
        <v>947</v>
      </c>
      <c r="B207" s="55" t="s">
        <v>949</v>
      </c>
      <c r="C207" s="56">
        <v>26000.0</v>
      </c>
      <c r="D207" s="57">
        <f t="shared" si="7"/>
        <v>25220</v>
      </c>
      <c r="E207" s="58"/>
      <c r="F207" s="58"/>
    </row>
    <row r="208" ht="14.25" customHeight="1">
      <c r="A208" s="207" t="s">
        <v>951</v>
      </c>
      <c r="B208" s="236" t="s">
        <v>953</v>
      </c>
      <c r="C208" s="218">
        <v>39000.0</v>
      </c>
      <c r="D208" s="206">
        <f t="shared" si="7"/>
        <v>37830</v>
      </c>
      <c r="E208" s="58"/>
      <c r="F208" s="58"/>
    </row>
    <row r="209" ht="14.25" customHeight="1">
      <c r="A209" s="63">
        <v>35140.0</v>
      </c>
      <c r="B209" s="55" t="s">
        <v>956</v>
      </c>
      <c r="C209" s="56">
        <v>18000.0</v>
      </c>
      <c r="D209" s="57">
        <f t="shared" si="7"/>
        <v>17460</v>
      </c>
      <c r="E209" s="58">
        <v>17.0</v>
      </c>
      <c r="F209" s="58"/>
    </row>
    <row r="210" ht="14.25" customHeight="1">
      <c r="A210" s="207" t="s">
        <v>959</v>
      </c>
      <c r="B210" s="236" t="s">
        <v>961</v>
      </c>
      <c r="C210" s="218">
        <v>20500.0</v>
      </c>
      <c r="D210" s="206">
        <f t="shared" si="7"/>
        <v>19885</v>
      </c>
      <c r="E210" s="58"/>
      <c r="F210" s="58"/>
    </row>
    <row r="211" ht="14.25" customHeight="1">
      <c r="A211" s="63" t="s">
        <v>964</v>
      </c>
      <c r="B211" s="55" t="s">
        <v>965</v>
      </c>
      <c r="C211" s="56">
        <v>24000.0</v>
      </c>
      <c r="D211" s="57">
        <f t="shared" si="7"/>
        <v>23280</v>
      </c>
      <c r="E211" s="58"/>
      <c r="F211" s="58"/>
      <c r="I211" s="34"/>
    </row>
    <row r="212" ht="14.25" customHeight="1">
      <c r="A212" s="207" t="s">
        <v>968</v>
      </c>
      <c r="B212" s="236" t="s">
        <v>969</v>
      </c>
      <c r="C212" s="218">
        <v>21500.0</v>
      </c>
      <c r="D212" s="206">
        <f t="shared" si="7"/>
        <v>20855</v>
      </c>
      <c r="E212" s="58"/>
      <c r="F212" s="58"/>
      <c r="I212" s="34"/>
    </row>
    <row r="213" ht="14.25" customHeight="1">
      <c r="A213" s="63" t="s">
        <v>974</v>
      </c>
      <c r="B213" s="55" t="s">
        <v>975</v>
      </c>
      <c r="C213" s="56">
        <v>26500.0</v>
      </c>
      <c r="D213" s="57">
        <f t="shared" si="7"/>
        <v>25705</v>
      </c>
      <c r="E213" s="58"/>
      <c r="F213" s="58"/>
      <c r="G213" s="34"/>
    </row>
    <row r="214" ht="14.25" customHeight="1">
      <c r="A214" s="207" t="s">
        <v>978</v>
      </c>
      <c r="B214" s="236" t="s">
        <v>979</v>
      </c>
      <c r="C214" s="218">
        <v>22500.0</v>
      </c>
      <c r="D214" s="206">
        <f t="shared" si="7"/>
        <v>21825</v>
      </c>
      <c r="E214" s="58"/>
      <c r="F214" s="58"/>
      <c r="G214" s="34"/>
      <c r="J214" s="34"/>
    </row>
    <row r="215" ht="14.25" customHeight="1">
      <c r="A215" s="273" t="s">
        <v>983</v>
      </c>
      <c r="B215" s="200" t="s">
        <v>986</v>
      </c>
      <c r="C215" s="56">
        <v>25000.0</v>
      </c>
      <c r="D215" s="57">
        <f t="shared" si="7"/>
        <v>24250</v>
      </c>
      <c r="E215" s="58"/>
      <c r="F215" s="58"/>
      <c r="G215" s="34"/>
    </row>
    <row r="216" ht="14.25" customHeight="1">
      <c r="A216" s="275">
        <v>2.506110003E9</v>
      </c>
      <c r="B216" s="276" t="s">
        <v>989</v>
      </c>
      <c r="C216" s="218">
        <v>27000.0</v>
      </c>
      <c r="D216" s="206">
        <f t="shared" si="7"/>
        <v>26190</v>
      </c>
      <c r="E216" s="58"/>
      <c r="F216" s="58"/>
      <c r="G216" s="34"/>
    </row>
    <row r="217" ht="14.25" customHeight="1">
      <c r="A217" s="63" t="s">
        <v>992</v>
      </c>
      <c r="B217" s="55" t="s">
        <v>994</v>
      </c>
      <c r="C217" s="56">
        <v>28000.0</v>
      </c>
      <c r="D217" s="57">
        <f t="shared" si="7"/>
        <v>27160</v>
      </c>
      <c r="E217" s="58"/>
      <c r="F217" s="58"/>
      <c r="G217" s="34"/>
      <c r="O217" s="34"/>
    </row>
    <row r="218" ht="14.25" customHeight="1">
      <c r="A218" s="207" t="s">
        <v>996</v>
      </c>
      <c r="B218" s="236" t="s">
        <v>997</v>
      </c>
      <c r="C218" s="218">
        <v>54000.0</v>
      </c>
      <c r="D218" s="243">
        <v>53000.0</v>
      </c>
      <c r="E218" s="58"/>
      <c r="F218" s="58"/>
      <c r="G218" s="34" t="s">
        <v>42</v>
      </c>
      <c r="O218" s="34"/>
    </row>
    <row r="219" ht="14.25" customHeight="1">
      <c r="A219" s="63">
        <v>35111.0</v>
      </c>
      <c r="B219" s="67" t="s">
        <v>1000</v>
      </c>
      <c r="C219" s="56">
        <v>15000.0</v>
      </c>
      <c r="D219" s="57">
        <f t="shared" ref="D219:D222" si="8">C219*0.97</f>
        <v>14550</v>
      </c>
      <c r="E219" s="58">
        <v>8.0</v>
      </c>
      <c r="F219" s="58"/>
    </row>
    <row r="220" ht="14.25" customHeight="1">
      <c r="A220" s="207" t="s">
        <v>1004</v>
      </c>
      <c r="B220" s="236" t="s">
        <v>1006</v>
      </c>
      <c r="C220" s="218">
        <v>18000.0</v>
      </c>
      <c r="D220" s="206">
        <f t="shared" si="8"/>
        <v>17460</v>
      </c>
      <c r="E220" s="58"/>
      <c r="F220" s="58"/>
    </row>
    <row r="221" ht="14.25" customHeight="1">
      <c r="A221" s="63">
        <v>2.401232321E9</v>
      </c>
      <c r="B221" s="55" t="s">
        <v>1009</v>
      </c>
      <c r="C221" s="56">
        <v>21900.0</v>
      </c>
      <c r="D221" s="57">
        <f t="shared" si="8"/>
        <v>21243</v>
      </c>
      <c r="E221" s="58"/>
      <c r="F221" s="58"/>
    </row>
    <row r="222" ht="14.25" customHeight="1">
      <c r="A222" s="207">
        <v>35120.0</v>
      </c>
      <c r="B222" s="236" t="s">
        <v>1012</v>
      </c>
      <c r="C222" s="218">
        <v>18900.0</v>
      </c>
      <c r="D222" s="206">
        <f t="shared" si="8"/>
        <v>18333</v>
      </c>
      <c r="E222" s="58"/>
      <c r="F222" s="58"/>
    </row>
    <row r="223" ht="14.25" customHeight="1">
      <c r="A223" s="63" t="s">
        <v>1014</v>
      </c>
      <c r="B223" s="55" t="s">
        <v>1016</v>
      </c>
      <c r="C223" s="56">
        <v>35000.0</v>
      </c>
      <c r="D223" s="89">
        <v>35000.0</v>
      </c>
      <c r="E223" s="58">
        <v>19.0</v>
      </c>
      <c r="F223" s="58"/>
      <c r="G223" s="34" t="s">
        <v>670</v>
      </c>
    </row>
    <row r="224" ht="14.25" customHeight="1">
      <c r="A224" s="207">
        <v>35112.0</v>
      </c>
      <c r="B224" s="204" t="s">
        <v>1018</v>
      </c>
      <c r="C224" s="218">
        <v>15000.0</v>
      </c>
      <c r="D224" s="206">
        <f t="shared" ref="D224:D231" si="9">C224*0.97</f>
        <v>14550</v>
      </c>
      <c r="E224" s="58">
        <v>0.0</v>
      </c>
      <c r="F224" s="58"/>
      <c r="G224" s="34"/>
    </row>
    <row r="225" ht="14.25" customHeight="1">
      <c r="A225" s="63" t="s">
        <v>1022</v>
      </c>
      <c r="B225" s="55" t="s">
        <v>1023</v>
      </c>
      <c r="C225" s="56">
        <v>18000.0</v>
      </c>
      <c r="D225" s="57">
        <f t="shared" si="9"/>
        <v>17460</v>
      </c>
      <c r="E225" s="58"/>
      <c r="F225" s="58"/>
    </row>
    <row r="226" ht="14.25" customHeight="1">
      <c r="A226" s="207">
        <v>2.401251672E9</v>
      </c>
      <c r="B226" s="236" t="s">
        <v>1025</v>
      </c>
      <c r="C226" s="218">
        <v>26000.0</v>
      </c>
      <c r="D226" s="206">
        <f t="shared" si="9"/>
        <v>25220</v>
      </c>
      <c r="E226" s="58"/>
      <c r="F226" s="58"/>
    </row>
    <row r="227" ht="14.25" customHeight="1">
      <c r="A227" s="63" t="s">
        <v>1026</v>
      </c>
      <c r="B227" s="55" t="s">
        <v>1027</v>
      </c>
      <c r="C227" s="56">
        <v>20500.0</v>
      </c>
      <c r="D227" s="57">
        <f t="shared" si="9"/>
        <v>19885</v>
      </c>
      <c r="E227" s="58"/>
      <c r="F227" s="58"/>
    </row>
    <row r="228" ht="14.25" customHeight="1">
      <c r="A228" s="207" t="s">
        <v>1029</v>
      </c>
      <c r="B228" s="236" t="s">
        <v>1030</v>
      </c>
      <c r="C228" s="218">
        <v>37000.0</v>
      </c>
      <c r="D228" s="206">
        <f t="shared" si="9"/>
        <v>35890</v>
      </c>
      <c r="E228" s="58">
        <v>37.0</v>
      </c>
      <c r="F228" s="58"/>
    </row>
    <row r="229" ht="14.25" customHeight="1">
      <c r="A229" s="63">
        <v>35109.0</v>
      </c>
      <c r="B229" s="55" t="s">
        <v>1032</v>
      </c>
      <c r="C229" s="56">
        <v>15000.0</v>
      </c>
      <c r="D229" s="57">
        <f t="shared" si="9"/>
        <v>14550</v>
      </c>
      <c r="E229" s="58">
        <v>0.0</v>
      </c>
      <c r="F229" s="58"/>
      <c r="G229" s="34"/>
      <c r="N229" s="34">
        <v>1.0</v>
      </c>
    </row>
    <row r="230" ht="14.25" customHeight="1">
      <c r="A230" s="207" t="s">
        <v>1034</v>
      </c>
      <c r="B230" s="236" t="s">
        <v>1035</v>
      </c>
      <c r="C230" s="218">
        <v>19500.0</v>
      </c>
      <c r="D230" s="206">
        <f t="shared" si="9"/>
        <v>18915</v>
      </c>
      <c r="E230" s="58"/>
      <c r="F230" s="58"/>
    </row>
    <row r="231" ht="14.25" customHeight="1">
      <c r="A231" s="63" t="s">
        <v>1038</v>
      </c>
      <c r="B231" s="55" t="s">
        <v>1039</v>
      </c>
      <c r="C231" s="56">
        <v>24000.0</v>
      </c>
      <c r="D231" s="57">
        <f t="shared" si="9"/>
        <v>23280</v>
      </c>
      <c r="E231" s="58"/>
      <c r="F231" s="58"/>
    </row>
    <row r="232" ht="14.25" customHeight="1">
      <c r="A232" s="207">
        <v>13597.0</v>
      </c>
      <c r="B232" s="204" t="s">
        <v>1042</v>
      </c>
      <c r="C232" s="218">
        <v>37000.0</v>
      </c>
      <c r="D232" s="243">
        <v>37000.0</v>
      </c>
      <c r="E232" s="58">
        <v>1.0</v>
      </c>
      <c r="F232" s="58"/>
      <c r="G232" s="34" t="s">
        <v>670</v>
      </c>
    </row>
    <row r="233" ht="14.25" customHeight="1">
      <c r="A233" s="63">
        <v>35102.0</v>
      </c>
      <c r="B233" s="55" t="s">
        <v>1044</v>
      </c>
      <c r="C233" s="56">
        <v>16500.0</v>
      </c>
      <c r="D233" s="57">
        <f t="shared" ref="D233:D285" si="10">C233*0.97</f>
        <v>16005</v>
      </c>
      <c r="E233" s="58"/>
      <c r="F233" s="58"/>
    </row>
    <row r="234" ht="14.25" customHeight="1">
      <c r="A234" s="207">
        <v>2.401251294E9</v>
      </c>
      <c r="B234" s="236" t="s">
        <v>1047</v>
      </c>
      <c r="C234" s="218">
        <v>21000.0</v>
      </c>
      <c r="D234" s="206">
        <f t="shared" si="10"/>
        <v>20370</v>
      </c>
      <c r="E234" s="58">
        <v>2.0</v>
      </c>
      <c r="F234" s="58"/>
    </row>
    <row r="235" ht="14.25" customHeight="1">
      <c r="A235" s="63">
        <v>35121.0</v>
      </c>
      <c r="B235" s="55" t="s">
        <v>1049</v>
      </c>
      <c r="C235" s="56">
        <v>27000.0</v>
      </c>
      <c r="D235" s="57">
        <f t="shared" si="10"/>
        <v>26190</v>
      </c>
      <c r="E235" s="58"/>
      <c r="F235" s="58"/>
    </row>
    <row r="236" ht="14.25" customHeight="1">
      <c r="A236" s="207">
        <v>2.401252193E9</v>
      </c>
      <c r="B236" s="236" t="s">
        <v>1051</v>
      </c>
      <c r="C236" s="218">
        <v>24000.0</v>
      </c>
      <c r="D236" s="206">
        <f t="shared" si="10"/>
        <v>23280</v>
      </c>
      <c r="E236" s="58">
        <v>2.0</v>
      </c>
      <c r="F236" s="58"/>
    </row>
    <row r="237" ht="14.25" customHeight="1">
      <c r="A237" s="63">
        <v>35132.0</v>
      </c>
      <c r="B237" s="67" t="s">
        <v>1053</v>
      </c>
      <c r="C237" s="56">
        <v>18000.0</v>
      </c>
      <c r="D237" s="57">
        <f t="shared" si="10"/>
        <v>17460</v>
      </c>
      <c r="E237" s="58">
        <v>0.0</v>
      </c>
      <c r="F237" s="58"/>
    </row>
    <row r="238" ht="14.25" hidden="1" customHeight="1">
      <c r="A238" s="207"/>
      <c r="B238" s="236" t="s">
        <v>1056</v>
      </c>
      <c r="C238" s="218">
        <v>19900.0</v>
      </c>
      <c r="D238" s="206">
        <f t="shared" si="10"/>
        <v>19303</v>
      </c>
      <c r="E238" s="58"/>
      <c r="F238" s="58"/>
    </row>
    <row r="239" ht="14.25" customHeight="1">
      <c r="A239" s="63" t="s">
        <v>959</v>
      </c>
      <c r="B239" s="55" t="s">
        <v>1058</v>
      </c>
      <c r="C239" s="56">
        <v>20500.0</v>
      </c>
      <c r="D239" s="57">
        <f t="shared" si="10"/>
        <v>19885</v>
      </c>
      <c r="E239" s="58"/>
      <c r="F239" s="58"/>
    </row>
    <row r="240" ht="14.25" customHeight="1">
      <c r="A240" s="207" t="s">
        <v>964</v>
      </c>
      <c r="B240" s="236" t="s">
        <v>1060</v>
      </c>
      <c r="C240" s="218">
        <v>24000.0</v>
      </c>
      <c r="D240" s="206">
        <f t="shared" si="10"/>
        <v>23280</v>
      </c>
      <c r="E240" s="58"/>
      <c r="F240" s="58"/>
    </row>
    <row r="241" ht="14.25" customHeight="1">
      <c r="A241" s="63" t="s">
        <v>968</v>
      </c>
      <c r="B241" s="55" t="s">
        <v>1063</v>
      </c>
      <c r="C241" s="56">
        <v>24500.0</v>
      </c>
      <c r="D241" s="57">
        <f t="shared" si="10"/>
        <v>23765</v>
      </c>
      <c r="E241" s="58"/>
      <c r="F241" s="58"/>
    </row>
    <row r="242" ht="14.25" customHeight="1">
      <c r="A242" s="207" t="s">
        <v>974</v>
      </c>
      <c r="B242" s="236" t="s">
        <v>1065</v>
      </c>
      <c r="C242" s="218">
        <v>26500.0</v>
      </c>
      <c r="D242" s="206">
        <f t="shared" si="10"/>
        <v>25705</v>
      </c>
      <c r="E242" s="58"/>
      <c r="F242" s="58"/>
    </row>
    <row r="243" ht="14.25" hidden="1" customHeight="1">
      <c r="A243" s="63"/>
      <c r="B243" s="55" t="s">
        <v>1067</v>
      </c>
      <c r="C243" s="56">
        <v>26500.0</v>
      </c>
      <c r="D243" s="57">
        <f t="shared" si="10"/>
        <v>25705</v>
      </c>
      <c r="E243" s="58"/>
      <c r="F243" s="58"/>
    </row>
    <row r="244" ht="14.25" customHeight="1">
      <c r="A244" s="207" t="s">
        <v>1069</v>
      </c>
      <c r="B244" s="236" t="s">
        <v>1070</v>
      </c>
      <c r="C244" s="218">
        <v>48000.0</v>
      </c>
      <c r="D244" s="206">
        <f t="shared" si="10"/>
        <v>46560</v>
      </c>
      <c r="E244" s="58">
        <v>5.0</v>
      </c>
      <c r="F244" s="58"/>
    </row>
    <row r="245" ht="14.25" customHeight="1">
      <c r="A245" s="63" t="s">
        <v>1073</v>
      </c>
      <c r="B245" s="55" t="s">
        <v>1074</v>
      </c>
      <c r="C245" s="56">
        <v>56000.0</v>
      </c>
      <c r="D245" s="57">
        <f t="shared" si="10"/>
        <v>54320</v>
      </c>
      <c r="E245" s="58"/>
      <c r="F245" s="58"/>
      <c r="G245" s="34" t="s">
        <v>42</v>
      </c>
    </row>
    <row r="246" ht="14.25" customHeight="1">
      <c r="A246" s="207" t="s">
        <v>992</v>
      </c>
      <c r="B246" s="236" t="s">
        <v>1076</v>
      </c>
      <c r="C246" s="218">
        <v>28000.0</v>
      </c>
      <c r="D246" s="206">
        <f t="shared" si="10"/>
        <v>27160</v>
      </c>
      <c r="E246" s="58"/>
      <c r="F246" s="58"/>
      <c r="G246" s="34"/>
    </row>
    <row r="247" ht="14.25" customHeight="1">
      <c r="A247" s="63" t="s">
        <v>978</v>
      </c>
      <c r="B247" s="55" t="s">
        <v>1079</v>
      </c>
      <c r="C247" s="56">
        <v>23000.0</v>
      </c>
      <c r="D247" s="57">
        <f t="shared" si="10"/>
        <v>22310</v>
      </c>
      <c r="E247" s="58"/>
      <c r="F247" s="58"/>
      <c r="G247" s="34" t="s">
        <v>42</v>
      </c>
    </row>
    <row r="248" ht="14.25" customHeight="1">
      <c r="A248" s="207" t="s">
        <v>983</v>
      </c>
      <c r="B248" s="236" t="s">
        <v>1083</v>
      </c>
      <c r="C248" s="218">
        <v>25000.0</v>
      </c>
      <c r="D248" s="206">
        <f t="shared" si="10"/>
        <v>24250</v>
      </c>
      <c r="E248" s="58"/>
      <c r="F248" s="58"/>
      <c r="G248" s="34"/>
    </row>
    <row r="249" ht="14.25" customHeight="1">
      <c r="A249" s="273">
        <v>2.506110003E9</v>
      </c>
      <c r="B249" s="55" t="s">
        <v>1087</v>
      </c>
      <c r="C249" s="56">
        <v>27000.0</v>
      </c>
      <c r="D249" s="57">
        <f t="shared" si="10"/>
        <v>26190</v>
      </c>
      <c r="E249" s="58"/>
      <c r="F249" s="58"/>
      <c r="G249" s="34" t="s">
        <v>42</v>
      </c>
    </row>
    <row r="250" ht="14.25" customHeight="1">
      <c r="A250" s="207" t="s">
        <v>1090</v>
      </c>
      <c r="B250" s="236" t="s">
        <v>1091</v>
      </c>
      <c r="C250" s="218">
        <v>28000.0</v>
      </c>
      <c r="D250" s="206">
        <f t="shared" si="10"/>
        <v>27160</v>
      </c>
      <c r="E250" s="58"/>
      <c r="F250" s="58"/>
    </row>
    <row r="251" ht="14.25" customHeight="1">
      <c r="A251" s="63" t="s">
        <v>1093</v>
      </c>
      <c r="B251" s="55" t="s">
        <v>1095</v>
      </c>
      <c r="C251" s="56">
        <v>65000.0</v>
      </c>
      <c r="D251" s="57">
        <f t="shared" si="10"/>
        <v>63050</v>
      </c>
      <c r="E251" s="58"/>
      <c r="F251" s="58"/>
    </row>
    <row r="252" ht="14.25" customHeight="1">
      <c r="A252" s="207">
        <v>35031.0</v>
      </c>
      <c r="B252" s="236" t="s">
        <v>1097</v>
      </c>
      <c r="C252" s="205">
        <v>16900.0</v>
      </c>
      <c r="D252" s="206">
        <f t="shared" si="10"/>
        <v>16393</v>
      </c>
      <c r="E252" s="58">
        <v>0.0</v>
      </c>
      <c r="F252" s="58"/>
    </row>
    <row r="253" ht="14.25" customHeight="1">
      <c r="A253" s="63">
        <v>35043.0</v>
      </c>
      <c r="B253" s="55" t="s">
        <v>1100</v>
      </c>
      <c r="C253" s="56">
        <v>18000.0</v>
      </c>
      <c r="D253" s="57">
        <f t="shared" si="10"/>
        <v>17460</v>
      </c>
      <c r="E253" s="58">
        <v>1.0</v>
      </c>
      <c r="F253" s="58"/>
    </row>
    <row r="254" ht="14.25" customHeight="1">
      <c r="A254" s="207">
        <v>35063.0</v>
      </c>
      <c r="B254" s="204" t="s">
        <v>1102</v>
      </c>
      <c r="C254" s="218">
        <v>20500.0</v>
      </c>
      <c r="D254" s="206">
        <f t="shared" si="10"/>
        <v>19885</v>
      </c>
      <c r="E254" s="58">
        <v>0.0</v>
      </c>
      <c r="F254" s="58"/>
    </row>
    <row r="255" ht="14.25" customHeight="1">
      <c r="A255" s="63" t="s">
        <v>1105</v>
      </c>
      <c r="B255" s="55" t="s">
        <v>1106</v>
      </c>
      <c r="C255" s="56">
        <v>21500.0</v>
      </c>
      <c r="D255" s="57">
        <f t="shared" si="10"/>
        <v>20855</v>
      </c>
      <c r="E255" s="58"/>
      <c r="F255" s="58"/>
    </row>
    <row r="256" ht="14.25" customHeight="1">
      <c r="A256" s="207">
        <v>35064.0</v>
      </c>
      <c r="B256" s="204" t="s">
        <v>1109</v>
      </c>
      <c r="C256" s="218">
        <v>16000.0</v>
      </c>
      <c r="D256" s="206">
        <f t="shared" si="10"/>
        <v>15520</v>
      </c>
      <c r="E256" s="58">
        <v>1.0</v>
      </c>
      <c r="F256" s="58"/>
    </row>
    <row r="257" ht="14.25" customHeight="1">
      <c r="A257" s="63">
        <v>35070.0</v>
      </c>
      <c r="B257" s="67" t="s">
        <v>1112</v>
      </c>
      <c r="C257" s="56">
        <v>17500.0</v>
      </c>
      <c r="D257" s="57">
        <f t="shared" si="10"/>
        <v>16975</v>
      </c>
      <c r="E257" s="58">
        <v>5.0</v>
      </c>
      <c r="F257" s="58"/>
    </row>
    <row r="258" ht="14.25" customHeight="1">
      <c r="A258" s="207" t="s">
        <v>1114</v>
      </c>
      <c r="B258" s="236" t="s">
        <v>1115</v>
      </c>
      <c r="C258" s="218">
        <v>18500.0</v>
      </c>
      <c r="D258" s="206">
        <f t="shared" si="10"/>
        <v>17945</v>
      </c>
      <c r="E258" s="58"/>
      <c r="F258" s="58"/>
    </row>
    <row r="259" ht="14.25" customHeight="1">
      <c r="A259" s="63">
        <v>35083.0</v>
      </c>
      <c r="B259" s="55" t="s">
        <v>1118</v>
      </c>
      <c r="C259" s="56">
        <v>21000.0</v>
      </c>
      <c r="D259" s="57">
        <f t="shared" si="10"/>
        <v>20370</v>
      </c>
      <c r="E259" s="58">
        <v>0.0</v>
      </c>
      <c r="F259" s="58"/>
    </row>
    <row r="260" ht="14.25" customHeight="1">
      <c r="A260" s="207">
        <v>35084.0</v>
      </c>
      <c r="B260" s="236" t="s">
        <v>1120</v>
      </c>
      <c r="C260" s="218">
        <v>16000.0</v>
      </c>
      <c r="D260" s="206">
        <f t="shared" si="10"/>
        <v>15520</v>
      </c>
      <c r="E260" s="58"/>
      <c r="F260" s="58"/>
    </row>
    <row r="261" ht="14.25" customHeight="1">
      <c r="A261" s="63" t="s">
        <v>1123</v>
      </c>
      <c r="B261" s="55" t="s">
        <v>1124</v>
      </c>
      <c r="C261" s="56">
        <v>18500.0</v>
      </c>
      <c r="D261" s="57">
        <f t="shared" si="10"/>
        <v>17945</v>
      </c>
      <c r="E261" s="58">
        <v>0.0</v>
      </c>
      <c r="F261" s="58"/>
    </row>
    <row r="262" ht="14.25" customHeight="1">
      <c r="A262" s="207">
        <v>35085.0</v>
      </c>
      <c r="B262" s="204" t="s">
        <v>1126</v>
      </c>
      <c r="C262" s="218">
        <v>17900.0</v>
      </c>
      <c r="D262" s="206">
        <f t="shared" si="10"/>
        <v>17363</v>
      </c>
      <c r="E262" s="58">
        <v>0.0</v>
      </c>
      <c r="F262" s="58"/>
    </row>
    <row r="263" ht="14.25" customHeight="1">
      <c r="A263" s="63" t="s">
        <v>1128</v>
      </c>
      <c r="B263" s="55" t="s">
        <v>1130</v>
      </c>
      <c r="C263" s="56">
        <v>18900.0</v>
      </c>
      <c r="D263" s="57">
        <f t="shared" si="10"/>
        <v>18333</v>
      </c>
      <c r="E263" s="58"/>
      <c r="F263" s="58"/>
    </row>
    <row r="264" ht="14.25" customHeight="1">
      <c r="A264" s="207">
        <v>35088.0</v>
      </c>
      <c r="B264" s="204" t="s">
        <v>1132</v>
      </c>
      <c r="C264" s="218">
        <v>20500.0</v>
      </c>
      <c r="D264" s="206">
        <f t="shared" si="10"/>
        <v>19885</v>
      </c>
      <c r="E264" s="58">
        <v>5.0</v>
      </c>
      <c r="F264" s="58"/>
    </row>
    <row r="265" ht="14.25" customHeight="1">
      <c r="A265" s="63" t="s">
        <v>1134</v>
      </c>
      <c r="B265" s="55" t="s">
        <v>1136</v>
      </c>
      <c r="C265" s="56">
        <v>24000.0</v>
      </c>
      <c r="D265" s="57">
        <f t="shared" si="10"/>
        <v>23280</v>
      </c>
      <c r="E265" s="58"/>
      <c r="F265" s="58"/>
    </row>
    <row r="266" ht="14.25" customHeight="1">
      <c r="A266" s="207">
        <v>35089.0</v>
      </c>
      <c r="B266" s="204" t="s">
        <v>1138</v>
      </c>
      <c r="C266" s="218">
        <v>18000.0</v>
      </c>
      <c r="D266" s="206">
        <f t="shared" si="10"/>
        <v>17460</v>
      </c>
      <c r="E266" s="58">
        <v>3.0</v>
      </c>
      <c r="F266" s="58"/>
    </row>
    <row r="267" ht="14.25" customHeight="1">
      <c r="A267" s="305" t="s">
        <v>926</v>
      </c>
      <c r="B267" s="55" t="s">
        <v>1140</v>
      </c>
      <c r="C267" s="56">
        <v>15000.0</v>
      </c>
      <c r="D267" s="57">
        <f t="shared" si="10"/>
        <v>14550</v>
      </c>
      <c r="E267" s="58">
        <v>5.0</v>
      </c>
      <c r="F267" s="58"/>
    </row>
    <row r="268" ht="14.25" customHeight="1">
      <c r="A268" s="207" t="s">
        <v>928</v>
      </c>
      <c r="B268" s="236" t="s">
        <v>1142</v>
      </c>
      <c r="C268" s="218">
        <v>18000.0</v>
      </c>
      <c r="D268" s="206">
        <f t="shared" si="10"/>
        <v>17460</v>
      </c>
      <c r="E268" s="58"/>
      <c r="F268" s="58"/>
    </row>
    <row r="269" ht="14.25" customHeight="1">
      <c r="A269" s="63">
        <v>85469.0</v>
      </c>
      <c r="B269" s="55" t="s">
        <v>1144</v>
      </c>
      <c r="C269" s="56">
        <v>19500.0</v>
      </c>
      <c r="D269" s="57">
        <f t="shared" si="10"/>
        <v>18915</v>
      </c>
      <c r="E269" s="58"/>
      <c r="F269" s="58"/>
    </row>
    <row r="270" ht="14.25" customHeight="1">
      <c r="A270" s="207" t="s">
        <v>1146</v>
      </c>
      <c r="B270" s="236" t="s">
        <v>1148</v>
      </c>
      <c r="C270" s="218">
        <v>22000.0</v>
      </c>
      <c r="D270" s="206">
        <f t="shared" si="10"/>
        <v>21340</v>
      </c>
      <c r="E270" s="58"/>
      <c r="F270" s="58"/>
    </row>
    <row r="271" ht="14.25" customHeight="1">
      <c r="A271" s="63">
        <v>35091.0</v>
      </c>
      <c r="B271" s="67" t="s">
        <v>1150</v>
      </c>
      <c r="C271" s="56">
        <v>20500.0</v>
      </c>
      <c r="D271" s="57">
        <f t="shared" si="10"/>
        <v>19885</v>
      </c>
      <c r="E271" s="58">
        <v>4.0</v>
      </c>
      <c r="F271" s="58"/>
    </row>
    <row r="272" ht="14.25" customHeight="1">
      <c r="A272" s="207">
        <v>2.401230144E9</v>
      </c>
      <c r="B272" s="236" t="s">
        <v>1153</v>
      </c>
      <c r="C272" s="218">
        <v>22500.0</v>
      </c>
      <c r="D272" s="206">
        <f t="shared" si="10"/>
        <v>21825</v>
      </c>
      <c r="E272" s="58"/>
      <c r="F272" s="58"/>
    </row>
    <row r="273" ht="14.25" customHeight="1">
      <c r="A273" s="63" t="s">
        <v>1155</v>
      </c>
      <c r="B273" s="55" t="s">
        <v>1156</v>
      </c>
      <c r="C273" s="56">
        <v>24500.0</v>
      </c>
      <c r="D273" s="57">
        <f t="shared" si="10"/>
        <v>23765</v>
      </c>
      <c r="E273" s="58"/>
      <c r="F273" s="58"/>
    </row>
    <row r="274" ht="14.25" customHeight="1">
      <c r="A274" s="207">
        <v>35092.0</v>
      </c>
      <c r="B274" s="236" t="s">
        <v>1160</v>
      </c>
      <c r="C274" s="218">
        <v>19500.0</v>
      </c>
      <c r="D274" s="206">
        <f t="shared" si="10"/>
        <v>18915</v>
      </c>
      <c r="E274" s="58"/>
      <c r="F274" s="58"/>
    </row>
    <row r="275" ht="14.25" customHeight="1">
      <c r="A275" s="63" t="s">
        <v>1162</v>
      </c>
      <c r="B275" s="55" t="s">
        <v>1163</v>
      </c>
      <c r="C275" s="56">
        <v>22500.0</v>
      </c>
      <c r="D275" s="57">
        <f t="shared" si="10"/>
        <v>21825</v>
      </c>
      <c r="E275" s="58">
        <v>1.0</v>
      </c>
      <c r="F275" s="58"/>
    </row>
    <row r="276" ht="14.25" customHeight="1">
      <c r="A276" s="207" t="s">
        <v>1166</v>
      </c>
      <c r="B276" s="236" t="s">
        <v>1167</v>
      </c>
      <c r="C276" s="218">
        <v>25000.0</v>
      </c>
      <c r="D276" s="206">
        <f t="shared" si="10"/>
        <v>24250</v>
      </c>
      <c r="E276" s="58"/>
      <c r="F276" s="58"/>
    </row>
    <row r="277" ht="14.25" customHeight="1">
      <c r="A277" s="63" t="s">
        <v>1169</v>
      </c>
      <c r="B277" s="55" t="s">
        <v>1171</v>
      </c>
      <c r="C277" s="56">
        <v>18000.0</v>
      </c>
      <c r="D277" s="57">
        <f t="shared" si="10"/>
        <v>17460</v>
      </c>
      <c r="E277" s="58">
        <v>0.0</v>
      </c>
      <c r="F277" s="58"/>
    </row>
    <row r="278" ht="14.25" customHeight="1">
      <c r="A278" s="207" t="s">
        <v>1173</v>
      </c>
      <c r="B278" s="236" t="s">
        <v>1174</v>
      </c>
      <c r="C278" s="218">
        <v>21000.0</v>
      </c>
      <c r="D278" s="206">
        <f t="shared" si="10"/>
        <v>20370</v>
      </c>
      <c r="E278" s="58"/>
      <c r="F278" s="58"/>
    </row>
    <row r="279" ht="14.25" customHeight="1">
      <c r="A279" s="63" t="s">
        <v>1177</v>
      </c>
      <c r="B279" s="55" t="s">
        <v>1178</v>
      </c>
      <c r="C279" s="56">
        <v>19500.0</v>
      </c>
      <c r="D279" s="57">
        <f t="shared" si="10"/>
        <v>18915</v>
      </c>
      <c r="E279" s="58"/>
      <c r="F279" s="58"/>
    </row>
    <row r="280" ht="14.25" customHeight="1">
      <c r="A280" s="207" t="s">
        <v>1180</v>
      </c>
      <c r="B280" s="236" t="s">
        <v>1182</v>
      </c>
      <c r="C280" s="218">
        <v>26500.0</v>
      </c>
      <c r="D280" s="206">
        <f t="shared" si="10"/>
        <v>25705</v>
      </c>
      <c r="E280" s="58"/>
      <c r="F280" s="58"/>
    </row>
    <row r="281" ht="14.25" customHeight="1">
      <c r="A281" s="63" t="s">
        <v>1184</v>
      </c>
      <c r="B281" s="55" t="s">
        <v>1185</v>
      </c>
      <c r="C281" s="56">
        <v>42000.0</v>
      </c>
      <c r="D281" s="57">
        <f t="shared" si="10"/>
        <v>40740</v>
      </c>
      <c r="E281" s="58">
        <v>1.0</v>
      </c>
      <c r="F281" s="58"/>
    </row>
    <row r="282" ht="14.25" customHeight="1">
      <c r="A282" s="207" t="s">
        <v>1187</v>
      </c>
      <c r="B282" s="236" t="s">
        <v>1188</v>
      </c>
      <c r="C282" s="218">
        <v>20000.0</v>
      </c>
      <c r="D282" s="206">
        <f t="shared" si="10"/>
        <v>19400</v>
      </c>
      <c r="E282" s="58">
        <v>2.0</v>
      </c>
      <c r="F282" s="58"/>
    </row>
    <row r="283" ht="14.25" customHeight="1">
      <c r="A283" s="63" t="s">
        <v>1190</v>
      </c>
      <c r="B283" s="55" t="s">
        <v>1191</v>
      </c>
      <c r="C283" s="56">
        <v>24500.0</v>
      </c>
      <c r="D283" s="57">
        <f t="shared" si="10"/>
        <v>23765</v>
      </c>
      <c r="E283" s="58"/>
      <c r="F283" s="58"/>
      <c r="G283" s="34"/>
    </row>
    <row r="284" ht="14.25" customHeight="1">
      <c r="A284" s="207">
        <v>2.41119002E9</v>
      </c>
      <c r="B284" s="236" t="s">
        <v>1194</v>
      </c>
      <c r="C284" s="218">
        <v>26500.0</v>
      </c>
      <c r="D284" s="206">
        <f t="shared" si="10"/>
        <v>25705</v>
      </c>
      <c r="E284" s="58"/>
      <c r="F284" s="58"/>
      <c r="G284" s="34"/>
    </row>
    <row r="285" ht="14.25" customHeight="1">
      <c r="A285" s="63" t="s">
        <v>1196</v>
      </c>
      <c r="B285" s="55" t="s">
        <v>1197</v>
      </c>
      <c r="C285" s="56">
        <v>47000.0</v>
      </c>
      <c r="D285" s="57">
        <f t="shared" si="10"/>
        <v>45590</v>
      </c>
      <c r="E285" s="58"/>
      <c r="F285" s="58"/>
      <c r="G285" s="34"/>
    </row>
    <row r="286" ht="14.25" customHeight="1">
      <c r="A286" s="207" t="s">
        <v>1199</v>
      </c>
      <c r="B286" s="236" t="s">
        <v>1201</v>
      </c>
      <c r="C286" s="218">
        <v>23000.0</v>
      </c>
      <c r="D286" s="243">
        <v>23000.0</v>
      </c>
      <c r="E286" s="58"/>
      <c r="F286" s="58"/>
      <c r="G286" s="34" t="s">
        <v>42</v>
      </c>
    </row>
    <row r="287" ht="14.25" customHeight="1">
      <c r="A287" s="63" t="s">
        <v>983</v>
      </c>
      <c r="B287" s="55" t="s">
        <v>1203</v>
      </c>
      <c r="C287" s="56">
        <v>25000.0</v>
      </c>
      <c r="D287" s="57">
        <f t="shared" ref="D287:D368" si="11">C287*0.97</f>
        <v>24250</v>
      </c>
      <c r="E287" s="58"/>
      <c r="F287" s="58"/>
      <c r="G287" s="34"/>
    </row>
    <row r="288" ht="14.25" customHeight="1">
      <c r="A288" s="207" t="s">
        <v>1205</v>
      </c>
      <c r="B288" s="236" t="s">
        <v>1206</v>
      </c>
      <c r="C288" s="218">
        <v>27000.0</v>
      </c>
      <c r="D288" s="206">
        <f t="shared" si="11"/>
        <v>26190</v>
      </c>
      <c r="E288" s="58"/>
      <c r="F288" s="58"/>
      <c r="G288" s="34"/>
    </row>
    <row r="289" ht="14.25" customHeight="1">
      <c r="A289" s="63" t="s">
        <v>1208</v>
      </c>
      <c r="B289" s="55" t="s">
        <v>1209</v>
      </c>
      <c r="C289" s="56">
        <v>58000.0</v>
      </c>
      <c r="D289" s="57">
        <f t="shared" si="11"/>
        <v>56260</v>
      </c>
      <c r="E289" s="58"/>
      <c r="F289" s="58"/>
      <c r="G289" s="34"/>
    </row>
    <row r="290" ht="14.25" customHeight="1">
      <c r="A290" s="207" t="s">
        <v>1212</v>
      </c>
      <c r="B290" s="236" t="s">
        <v>1213</v>
      </c>
      <c r="C290" s="218">
        <v>28000.0</v>
      </c>
      <c r="D290" s="206">
        <f t="shared" si="11"/>
        <v>27160</v>
      </c>
      <c r="E290" s="58"/>
      <c r="F290" s="58"/>
      <c r="G290" s="34"/>
    </row>
    <row r="291" ht="14.25" customHeight="1">
      <c r="A291" s="63" t="s">
        <v>1215</v>
      </c>
      <c r="B291" s="55" t="s">
        <v>1217</v>
      </c>
      <c r="C291" s="56">
        <v>30000.0</v>
      </c>
      <c r="D291" s="57">
        <f t="shared" si="11"/>
        <v>29100</v>
      </c>
      <c r="E291" s="58"/>
      <c r="F291" s="58"/>
      <c r="G291" s="34"/>
    </row>
    <row r="292" ht="14.25" customHeight="1">
      <c r="A292" s="207">
        <v>35123.0</v>
      </c>
      <c r="B292" s="236" t="s">
        <v>1218</v>
      </c>
      <c r="C292" s="218">
        <v>15000.0</v>
      </c>
      <c r="D292" s="206">
        <f t="shared" si="11"/>
        <v>14550</v>
      </c>
      <c r="E292" s="58">
        <v>4.0</v>
      </c>
      <c r="F292" s="58"/>
      <c r="G292" s="34"/>
    </row>
    <row r="293" ht="14.25" customHeight="1">
      <c r="A293" s="311">
        <v>2.401251098E9</v>
      </c>
      <c r="B293" s="312" t="s">
        <v>1222</v>
      </c>
      <c r="C293" s="56">
        <v>19500.0</v>
      </c>
      <c r="D293" s="57">
        <f t="shared" si="11"/>
        <v>18915</v>
      </c>
      <c r="E293" s="58"/>
      <c r="F293" s="58"/>
    </row>
    <row r="294" ht="14.25" customHeight="1">
      <c r="A294" s="313">
        <v>35116.0</v>
      </c>
      <c r="B294" s="314" t="s">
        <v>1225</v>
      </c>
      <c r="C294" s="218">
        <v>19000.0</v>
      </c>
      <c r="D294" s="206">
        <f t="shared" si="11"/>
        <v>18430</v>
      </c>
      <c r="E294" s="58"/>
      <c r="F294" s="58"/>
    </row>
    <row r="295" ht="14.25" customHeight="1">
      <c r="A295" s="63" t="s">
        <v>1228</v>
      </c>
      <c r="B295" s="55" t="s">
        <v>1229</v>
      </c>
      <c r="C295" s="56">
        <v>22000.0</v>
      </c>
      <c r="D295" s="57">
        <f t="shared" si="11"/>
        <v>21340</v>
      </c>
      <c r="E295" s="58"/>
      <c r="F295" s="58"/>
      <c r="G295" s="34"/>
    </row>
    <row r="296" ht="14.25" customHeight="1">
      <c r="A296" s="207">
        <v>35109.0</v>
      </c>
      <c r="B296" s="236" t="s">
        <v>1232</v>
      </c>
      <c r="C296" s="218">
        <v>15000.0</v>
      </c>
      <c r="D296" s="206">
        <f t="shared" si="11"/>
        <v>14550</v>
      </c>
      <c r="E296" s="58">
        <v>8.0</v>
      </c>
      <c r="F296" s="58"/>
      <c r="G296" s="34"/>
    </row>
    <row r="297" ht="14.25" customHeight="1">
      <c r="A297" s="63" t="s">
        <v>1034</v>
      </c>
      <c r="B297" s="55" t="s">
        <v>1235</v>
      </c>
      <c r="C297" s="56">
        <v>19500.0</v>
      </c>
      <c r="D297" s="57">
        <f t="shared" si="11"/>
        <v>18915</v>
      </c>
      <c r="E297" s="58"/>
      <c r="F297" s="58"/>
    </row>
    <row r="298" ht="14.25" customHeight="1">
      <c r="A298" s="207" t="s">
        <v>1238</v>
      </c>
      <c r="B298" s="236" t="s">
        <v>1239</v>
      </c>
      <c r="C298" s="218">
        <v>20000.0</v>
      </c>
      <c r="D298" s="206">
        <f t="shared" si="11"/>
        <v>19400</v>
      </c>
      <c r="E298" s="58"/>
      <c r="F298" s="58"/>
    </row>
    <row r="299" ht="14.25" customHeight="1">
      <c r="A299" s="63" t="s">
        <v>1241</v>
      </c>
      <c r="B299" s="55" t="s">
        <v>1242</v>
      </c>
      <c r="C299" s="56">
        <v>24500.0</v>
      </c>
      <c r="D299" s="57">
        <f t="shared" si="11"/>
        <v>23765</v>
      </c>
      <c r="E299" s="58"/>
      <c r="F299" s="58"/>
    </row>
    <row r="300" ht="14.25" customHeight="1">
      <c r="A300" s="207" t="s">
        <v>1169</v>
      </c>
      <c r="B300" s="204" t="s">
        <v>1245</v>
      </c>
      <c r="C300" s="218">
        <v>16000.0</v>
      </c>
      <c r="D300" s="206">
        <f t="shared" si="11"/>
        <v>15520</v>
      </c>
      <c r="E300" s="58">
        <v>1.0</v>
      </c>
      <c r="F300" s="58"/>
    </row>
    <row r="301" ht="14.25" customHeight="1">
      <c r="A301" s="63" t="s">
        <v>1173</v>
      </c>
      <c r="B301" s="55" t="s">
        <v>1247</v>
      </c>
      <c r="C301" s="56">
        <v>21500.0</v>
      </c>
      <c r="D301" s="57">
        <f t="shared" si="11"/>
        <v>20855</v>
      </c>
      <c r="E301" s="58"/>
      <c r="F301" s="58"/>
    </row>
    <row r="302" ht="14.25" customHeight="1">
      <c r="A302" s="320" t="s">
        <v>1177</v>
      </c>
      <c r="B302" s="236" t="s">
        <v>1250</v>
      </c>
      <c r="C302" s="218">
        <v>21500.0</v>
      </c>
      <c r="D302" s="206">
        <f t="shared" si="11"/>
        <v>20855</v>
      </c>
      <c r="E302" s="58"/>
      <c r="F302" s="58"/>
    </row>
    <row r="303" ht="14.25" customHeight="1">
      <c r="A303" s="63">
        <v>2.411180003E9</v>
      </c>
      <c r="B303" s="55" t="s">
        <v>1252</v>
      </c>
      <c r="C303" s="56">
        <v>26500.0</v>
      </c>
      <c r="D303" s="57">
        <f t="shared" si="11"/>
        <v>25705</v>
      </c>
      <c r="E303" s="58"/>
      <c r="F303" s="58"/>
    </row>
    <row r="304" ht="14.25" customHeight="1">
      <c r="A304" s="207" t="s">
        <v>1254</v>
      </c>
      <c r="B304" s="204" t="s">
        <v>1256</v>
      </c>
      <c r="C304" s="218">
        <v>42000.0</v>
      </c>
      <c r="D304" s="206">
        <f t="shared" si="11"/>
        <v>40740</v>
      </c>
      <c r="E304" s="58">
        <v>0.0</v>
      </c>
      <c r="F304" s="58"/>
    </row>
    <row r="305" ht="14.25" customHeight="1">
      <c r="A305" s="63">
        <v>35132.0</v>
      </c>
      <c r="B305" s="67" t="s">
        <v>1259</v>
      </c>
      <c r="C305" s="56">
        <v>18000.0</v>
      </c>
      <c r="D305" s="57">
        <f t="shared" si="11"/>
        <v>17460</v>
      </c>
      <c r="E305" s="58">
        <v>0.0</v>
      </c>
      <c r="F305" s="58"/>
    </row>
    <row r="306" ht="14.25" customHeight="1">
      <c r="A306" s="207"/>
      <c r="B306" s="314" t="s">
        <v>1262</v>
      </c>
      <c r="C306" s="218">
        <v>20500.0</v>
      </c>
      <c r="D306" s="206">
        <f t="shared" si="11"/>
        <v>19885</v>
      </c>
      <c r="E306" s="58"/>
      <c r="F306" s="58"/>
    </row>
    <row r="307" ht="14.25" customHeight="1">
      <c r="A307" s="63" t="s">
        <v>964</v>
      </c>
      <c r="B307" s="312" t="s">
        <v>1265</v>
      </c>
      <c r="C307" s="56">
        <v>24000.0</v>
      </c>
      <c r="D307" s="57">
        <f t="shared" si="11"/>
        <v>23280</v>
      </c>
      <c r="E307" s="58"/>
      <c r="F307" s="58"/>
    </row>
    <row r="308" ht="14.25" customHeight="1">
      <c r="A308" s="313">
        <v>2.408260004E9</v>
      </c>
      <c r="B308" s="314" t="s">
        <v>1268</v>
      </c>
      <c r="C308" s="218">
        <v>28500.0</v>
      </c>
      <c r="D308" s="206">
        <f t="shared" si="11"/>
        <v>27645</v>
      </c>
      <c r="E308" s="58"/>
      <c r="F308" s="58"/>
    </row>
    <row r="309" ht="14.25" customHeight="1">
      <c r="A309" s="311" t="s">
        <v>1270</v>
      </c>
      <c r="B309" s="312" t="s">
        <v>1271</v>
      </c>
      <c r="C309" s="56">
        <v>28000.0</v>
      </c>
      <c r="D309" s="57">
        <f t="shared" si="11"/>
        <v>27160</v>
      </c>
      <c r="E309" s="58"/>
      <c r="F309" s="58"/>
    </row>
    <row r="310" ht="14.25" customHeight="1">
      <c r="A310" s="313" t="s">
        <v>1273</v>
      </c>
      <c r="B310" s="314" t="s">
        <v>1274</v>
      </c>
      <c r="C310" s="218">
        <v>48000.0</v>
      </c>
      <c r="D310" s="206">
        <f t="shared" si="11"/>
        <v>46560</v>
      </c>
      <c r="E310" s="58"/>
      <c r="F310" s="58"/>
    </row>
    <row r="311" ht="14.25" customHeight="1">
      <c r="A311" s="311">
        <v>35116.0</v>
      </c>
      <c r="B311" s="312" t="s">
        <v>1276</v>
      </c>
      <c r="C311" s="56">
        <v>19000.0</v>
      </c>
      <c r="D311" s="57">
        <f t="shared" si="11"/>
        <v>18430</v>
      </c>
      <c r="E311" s="58"/>
      <c r="F311" s="58"/>
    </row>
    <row r="312" ht="14.25" customHeight="1">
      <c r="A312" s="313">
        <v>35123.0</v>
      </c>
      <c r="B312" s="204" t="s">
        <v>1279</v>
      </c>
      <c r="C312" s="218">
        <v>15000.0</v>
      </c>
      <c r="D312" s="206">
        <f t="shared" si="11"/>
        <v>14550</v>
      </c>
      <c r="E312" s="58">
        <v>5.0</v>
      </c>
      <c r="F312" s="58"/>
      <c r="G312" s="34"/>
    </row>
    <row r="313" ht="14.25" customHeight="1">
      <c r="A313" s="63" t="s">
        <v>1228</v>
      </c>
      <c r="B313" s="55" t="s">
        <v>1282</v>
      </c>
      <c r="C313" s="56">
        <v>19500.0</v>
      </c>
      <c r="D313" s="57">
        <f t="shared" si="11"/>
        <v>18915</v>
      </c>
      <c r="E313" s="58"/>
      <c r="F313" s="58"/>
    </row>
    <row r="314" ht="14.25" customHeight="1">
      <c r="A314" s="207" t="s">
        <v>1228</v>
      </c>
      <c r="B314" s="236" t="s">
        <v>1285</v>
      </c>
      <c r="C314" s="218">
        <v>22000.0</v>
      </c>
      <c r="D314" s="206">
        <f t="shared" si="11"/>
        <v>21340</v>
      </c>
      <c r="E314" s="58"/>
      <c r="F314" s="58"/>
    </row>
    <row r="315" ht="14.25" customHeight="1">
      <c r="A315" s="63">
        <v>35150.0</v>
      </c>
      <c r="B315" s="67" t="s">
        <v>1287</v>
      </c>
      <c r="C315" s="56">
        <v>49000.0</v>
      </c>
      <c r="D315" s="57">
        <f t="shared" si="11"/>
        <v>47530</v>
      </c>
      <c r="E315" s="58">
        <v>8.0</v>
      </c>
      <c r="F315" s="58"/>
    </row>
    <row r="316" ht="14.25" customHeight="1">
      <c r="A316" s="207" t="s">
        <v>1290</v>
      </c>
      <c r="B316" s="236" t="s">
        <v>1291</v>
      </c>
      <c r="C316" s="218">
        <v>53000.0</v>
      </c>
      <c r="D316" s="206">
        <f t="shared" si="11"/>
        <v>51410</v>
      </c>
      <c r="E316" s="58"/>
      <c r="F316" s="58"/>
      <c r="G316" s="34" t="s">
        <v>42</v>
      </c>
    </row>
    <row r="317" ht="14.25" customHeight="1">
      <c r="A317" s="63" t="s">
        <v>1293</v>
      </c>
      <c r="B317" s="55" t="s">
        <v>1294</v>
      </c>
      <c r="C317" s="56">
        <v>25000.0</v>
      </c>
      <c r="D317" s="57">
        <f t="shared" si="11"/>
        <v>24250</v>
      </c>
      <c r="E317" s="58"/>
      <c r="F317" s="58"/>
    </row>
    <row r="318" ht="14.25" customHeight="1">
      <c r="A318" s="207">
        <v>35104.0</v>
      </c>
      <c r="B318" s="236" t="s">
        <v>1297</v>
      </c>
      <c r="C318" s="218">
        <v>55000.0</v>
      </c>
      <c r="D318" s="206">
        <f t="shared" si="11"/>
        <v>53350</v>
      </c>
      <c r="E318" s="58"/>
      <c r="F318" s="58"/>
    </row>
    <row r="319" ht="14.25" customHeight="1">
      <c r="A319" s="63">
        <v>35136.0</v>
      </c>
      <c r="B319" s="55" t="s">
        <v>1300</v>
      </c>
      <c r="C319" s="56">
        <v>32000.0</v>
      </c>
      <c r="D319" s="57">
        <f t="shared" si="11"/>
        <v>31040</v>
      </c>
      <c r="E319" s="58"/>
      <c r="F319" s="58"/>
    </row>
    <row r="320" ht="14.25" customHeight="1">
      <c r="A320" s="207" t="s">
        <v>1302</v>
      </c>
      <c r="B320" s="204" t="s">
        <v>1303</v>
      </c>
      <c r="C320" s="218">
        <v>51000.0</v>
      </c>
      <c r="D320" s="206">
        <f t="shared" si="11"/>
        <v>49470</v>
      </c>
      <c r="E320" s="58"/>
      <c r="F320" s="58"/>
    </row>
    <row r="321" ht="14.25" customHeight="1">
      <c r="A321" s="63" t="s">
        <v>1304</v>
      </c>
      <c r="B321" s="55" t="s">
        <v>1306</v>
      </c>
      <c r="C321" s="56">
        <v>80000.0</v>
      </c>
      <c r="D321" s="57">
        <f t="shared" si="11"/>
        <v>77600</v>
      </c>
      <c r="E321" s="58"/>
      <c r="F321" s="58"/>
      <c r="G321" s="34"/>
    </row>
    <row r="322" ht="14.25" customHeight="1">
      <c r="A322" s="207">
        <v>35115.0</v>
      </c>
      <c r="B322" s="204" t="s">
        <v>1308</v>
      </c>
      <c r="C322" s="218">
        <v>21000.0</v>
      </c>
      <c r="D322" s="206">
        <f t="shared" si="11"/>
        <v>20370</v>
      </c>
      <c r="E322" s="58">
        <v>0.0</v>
      </c>
      <c r="F322" s="58"/>
      <c r="G322" s="34"/>
    </row>
    <row r="323" ht="14.25" customHeight="1">
      <c r="A323" s="63" t="s">
        <v>1311</v>
      </c>
      <c r="B323" s="55" t="s">
        <v>1312</v>
      </c>
      <c r="C323" s="56">
        <v>24500.0</v>
      </c>
      <c r="D323" s="57">
        <f t="shared" si="11"/>
        <v>23765</v>
      </c>
      <c r="E323" s="58"/>
      <c r="F323" s="58"/>
    </row>
    <row r="324" ht="14.25" customHeight="1">
      <c r="A324" s="207" t="s">
        <v>1314</v>
      </c>
      <c r="B324" s="236" t="s">
        <v>1315</v>
      </c>
      <c r="C324" s="218">
        <v>26500.0</v>
      </c>
      <c r="D324" s="206">
        <f t="shared" si="11"/>
        <v>25705</v>
      </c>
      <c r="E324" s="58"/>
      <c r="F324" s="58"/>
    </row>
    <row r="325" ht="14.25" customHeight="1">
      <c r="A325" s="63" t="s">
        <v>1318</v>
      </c>
      <c r="B325" s="55" t="s">
        <v>1319</v>
      </c>
      <c r="C325" s="56">
        <v>45000.0</v>
      </c>
      <c r="D325" s="57">
        <f t="shared" si="11"/>
        <v>43650</v>
      </c>
      <c r="E325" s="58"/>
      <c r="F325" s="58"/>
    </row>
    <row r="326" ht="14.25" customHeight="1">
      <c r="A326" s="207" t="s">
        <v>1321</v>
      </c>
      <c r="B326" s="236" t="s">
        <v>1322</v>
      </c>
      <c r="C326" s="218">
        <v>49000.0</v>
      </c>
      <c r="D326" s="206">
        <f t="shared" si="11"/>
        <v>47530</v>
      </c>
      <c r="E326" s="58"/>
      <c r="F326" s="58"/>
    </row>
    <row r="327" ht="14.25" customHeight="1">
      <c r="A327" s="63">
        <v>35142.0</v>
      </c>
      <c r="B327" s="55" t="s">
        <v>1325</v>
      </c>
      <c r="C327" s="56">
        <v>25000.0</v>
      </c>
      <c r="D327" s="57">
        <f t="shared" si="11"/>
        <v>24250</v>
      </c>
      <c r="E327" s="58"/>
      <c r="F327" s="58"/>
    </row>
    <row r="328" ht="14.25" customHeight="1">
      <c r="A328" s="207" t="s">
        <v>1327</v>
      </c>
      <c r="B328" s="236" t="s">
        <v>1329</v>
      </c>
      <c r="C328" s="218">
        <v>27000.0</v>
      </c>
      <c r="D328" s="206">
        <f t="shared" si="11"/>
        <v>26190</v>
      </c>
      <c r="E328" s="58"/>
      <c r="F328" s="58"/>
    </row>
    <row r="329" ht="14.25" customHeight="1">
      <c r="A329" s="63" t="s">
        <v>1331</v>
      </c>
      <c r="B329" s="55" t="s">
        <v>1332</v>
      </c>
      <c r="C329" s="56">
        <v>44500.0</v>
      </c>
      <c r="D329" s="57">
        <f t="shared" si="11"/>
        <v>43165</v>
      </c>
      <c r="E329" s="58"/>
      <c r="F329" s="58"/>
    </row>
    <row r="330" ht="14.25" customHeight="1">
      <c r="A330" s="207" t="s">
        <v>1334</v>
      </c>
      <c r="B330" s="236" t="s">
        <v>1335</v>
      </c>
      <c r="C330" s="218">
        <v>51000.0</v>
      </c>
      <c r="D330" s="206">
        <f t="shared" si="11"/>
        <v>49470</v>
      </c>
      <c r="E330" s="58"/>
      <c r="F330" s="58"/>
    </row>
    <row r="331" ht="14.25" customHeight="1">
      <c r="A331" s="63" t="s">
        <v>1337</v>
      </c>
      <c r="B331" s="55" t="s">
        <v>1338</v>
      </c>
      <c r="C331" s="56">
        <v>24000.0</v>
      </c>
      <c r="D331" s="57">
        <f t="shared" si="11"/>
        <v>23280</v>
      </c>
      <c r="E331" s="58"/>
      <c r="F331" s="58"/>
    </row>
    <row r="332" ht="14.25" customHeight="1">
      <c r="A332" s="207" t="s">
        <v>1340</v>
      </c>
      <c r="B332" s="236" t="s">
        <v>1341</v>
      </c>
      <c r="C332" s="218">
        <v>32000.0</v>
      </c>
      <c r="D332" s="206">
        <f t="shared" si="11"/>
        <v>31040</v>
      </c>
      <c r="E332" s="58"/>
      <c r="F332" s="58"/>
    </row>
    <row r="333" ht="14.25" customHeight="1">
      <c r="A333" s="63">
        <v>5732.0</v>
      </c>
      <c r="B333" s="67" t="s">
        <v>1344</v>
      </c>
      <c r="C333" s="56">
        <v>51000.0</v>
      </c>
      <c r="D333" s="57">
        <f t="shared" si="11"/>
        <v>49470</v>
      </c>
      <c r="E333" s="58">
        <v>5.0</v>
      </c>
      <c r="F333" s="58"/>
    </row>
    <row r="334" ht="14.25" customHeight="1">
      <c r="A334" s="207" t="s">
        <v>1347</v>
      </c>
      <c r="B334" s="236" t="s">
        <v>1348</v>
      </c>
      <c r="C334" s="218">
        <v>54000.0</v>
      </c>
      <c r="D334" s="206">
        <f t="shared" si="11"/>
        <v>52380</v>
      </c>
      <c r="E334" s="58"/>
      <c r="F334" s="58"/>
    </row>
    <row r="335" ht="14.25" customHeight="1">
      <c r="A335" s="63" t="s">
        <v>1337</v>
      </c>
      <c r="B335" s="55" t="s">
        <v>1352</v>
      </c>
      <c r="C335" s="56">
        <v>56000.0</v>
      </c>
      <c r="D335" s="57">
        <f t="shared" si="11"/>
        <v>54320</v>
      </c>
      <c r="E335" s="58"/>
      <c r="F335" s="58"/>
    </row>
    <row r="336" ht="14.25" customHeight="1">
      <c r="A336" s="207" t="s">
        <v>1355</v>
      </c>
      <c r="B336" s="236" t="s">
        <v>1356</v>
      </c>
      <c r="C336" s="218">
        <v>83000.0</v>
      </c>
      <c r="D336" s="206">
        <f t="shared" si="11"/>
        <v>80510</v>
      </c>
      <c r="E336" s="58"/>
      <c r="F336" s="58"/>
    </row>
    <row r="337" ht="14.25" customHeight="1">
      <c r="A337" s="63" t="s">
        <v>1358</v>
      </c>
      <c r="B337" s="55" t="s">
        <v>1360</v>
      </c>
      <c r="C337" s="56">
        <v>33000.0</v>
      </c>
      <c r="D337" s="57">
        <f t="shared" si="11"/>
        <v>32010</v>
      </c>
      <c r="E337" s="58"/>
      <c r="F337" s="58"/>
    </row>
    <row r="338" ht="14.25" customHeight="1">
      <c r="A338" s="207" t="s">
        <v>1187</v>
      </c>
      <c r="B338" s="204" t="s">
        <v>1362</v>
      </c>
      <c r="C338" s="218">
        <v>20000.0</v>
      </c>
      <c r="D338" s="206">
        <f t="shared" si="11"/>
        <v>19400</v>
      </c>
      <c r="E338" s="58">
        <v>0.0</v>
      </c>
      <c r="F338" s="58"/>
    </row>
    <row r="339" ht="14.25" customHeight="1">
      <c r="A339" s="63" t="s">
        <v>1190</v>
      </c>
      <c r="B339" s="55" t="s">
        <v>1364</v>
      </c>
      <c r="C339" s="56">
        <v>24000.0</v>
      </c>
      <c r="D339" s="57">
        <f t="shared" si="11"/>
        <v>23280</v>
      </c>
      <c r="E339" s="58"/>
      <c r="F339" s="58"/>
    </row>
    <row r="340" ht="14.25" customHeight="1">
      <c r="A340" s="207" t="s">
        <v>1367</v>
      </c>
      <c r="B340" s="236" t="s">
        <v>1368</v>
      </c>
      <c r="C340" s="218">
        <v>45000.0</v>
      </c>
      <c r="D340" s="206">
        <f t="shared" si="11"/>
        <v>43650</v>
      </c>
      <c r="E340" s="58"/>
      <c r="F340" s="58"/>
    </row>
    <row r="341" ht="14.25" customHeight="1">
      <c r="A341" s="63" t="s">
        <v>1370</v>
      </c>
      <c r="B341" s="55" t="s">
        <v>1371</v>
      </c>
      <c r="C341" s="56">
        <v>29000.0</v>
      </c>
      <c r="D341" s="57">
        <f t="shared" si="11"/>
        <v>28130</v>
      </c>
      <c r="E341" s="58"/>
      <c r="F341" s="58"/>
    </row>
    <row r="342" ht="14.25" customHeight="1">
      <c r="A342" s="207" t="s">
        <v>1373</v>
      </c>
      <c r="B342" s="236" t="s">
        <v>1375</v>
      </c>
      <c r="C342" s="218">
        <v>84000.0</v>
      </c>
      <c r="D342" s="206">
        <f t="shared" si="11"/>
        <v>81480</v>
      </c>
      <c r="E342" s="58"/>
      <c r="F342" s="58"/>
    </row>
    <row r="343" ht="14.25" customHeight="1">
      <c r="A343" s="63">
        <v>35103.0</v>
      </c>
      <c r="B343" s="55" t="s">
        <v>1377</v>
      </c>
      <c r="C343" s="56">
        <v>22500.0</v>
      </c>
      <c r="D343" s="57">
        <f t="shared" si="11"/>
        <v>21825</v>
      </c>
      <c r="E343" s="58">
        <v>0.0</v>
      </c>
      <c r="F343" s="58"/>
    </row>
    <row r="344" ht="14.25" customHeight="1">
      <c r="A344" s="207" t="s">
        <v>1380</v>
      </c>
      <c r="B344" s="236" t="s">
        <v>1381</v>
      </c>
      <c r="C344" s="218">
        <v>25000.0</v>
      </c>
      <c r="D344" s="206">
        <f t="shared" si="11"/>
        <v>24250</v>
      </c>
      <c r="E344" s="58"/>
      <c r="F344" s="58"/>
    </row>
    <row r="345" ht="14.25" customHeight="1">
      <c r="A345" s="63">
        <v>2.404070032E9</v>
      </c>
      <c r="B345" s="55" t="s">
        <v>1383</v>
      </c>
      <c r="C345" s="56">
        <v>30000.0</v>
      </c>
      <c r="D345" s="57">
        <f t="shared" si="11"/>
        <v>29100</v>
      </c>
      <c r="E345" s="58"/>
      <c r="F345" s="58"/>
    </row>
    <row r="346" ht="14.25" customHeight="1">
      <c r="A346" s="207" t="s">
        <v>1385</v>
      </c>
      <c r="B346" s="236" t="s">
        <v>1387</v>
      </c>
      <c r="C346" s="218">
        <v>62000.0</v>
      </c>
      <c r="D346" s="206">
        <f t="shared" si="11"/>
        <v>60140</v>
      </c>
      <c r="E346" s="58"/>
      <c r="F346" s="58"/>
    </row>
    <row r="347" ht="14.25" customHeight="1">
      <c r="A347" s="63" t="s">
        <v>1389</v>
      </c>
      <c r="B347" s="55" t="s">
        <v>1390</v>
      </c>
      <c r="C347" s="56">
        <v>30000.0</v>
      </c>
      <c r="D347" s="57">
        <f t="shared" si="11"/>
        <v>29100</v>
      </c>
      <c r="E347" s="58"/>
      <c r="F347" s="58"/>
    </row>
    <row r="348" ht="14.25" customHeight="1">
      <c r="A348" s="207">
        <v>35130.0</v>
      </c>
      <c r="B348" s="204" t="s">
        <v>1392</v>
      </c>
      <c r="C348" s="218">
        <v>67000.0</v>
      </c>
      <c r="D348" s="206">
        <f t="shared" si="11"/>
        <v>64990</v>
      </c>
      <c r="E348" s="58">
        <v>7.0</v>
      </c>
      <c r="F348" s="58"/>
    </row>
    <row r="349" ht="14.25" customHeight="1">
      <c r="A349" s="63" t="s">
        <v>1394</v>
      </c>
      <c r="B349" s="55" t="s">
        <v>1396</v>
      </c>
      <c r="C349" s="56">
        <v>78000.0</v>
      </c>
      <c r="D349" s="57">
        <f t="shared" si="11"/>
        <v>75660</v>
      </c>
      <c r="E349" s="58"/>
      <c r="F349" s="58"/>
      <c r="G349" s="34"/>
    </row>
    <row r="350" ht="14.25" customHeight="1">
      <c r="A350" s="207"/>
      <c r="B350" s="236" t="s">
        <v>1398</v>
      </c>
      <c r="C350" s="218">
        <v>38000.0</v>
      </c>
      <c r="D350" s="206">
        <f t="shared" si="11"/>
        <v>36860</v>
      </c>
      <c r="E350" s="58"/>
      <c r="F350" s="58"/>
      <c r="G350" s="34"/>
    </row>
    <row r="351" ht="14.25" customHeight="1">
      <c r="A351" s="63">
        <v>35110.0</v>
      </c>
      <c r="B351" s="67" t="s">
        <v>1401</v>
      </c>
      <c r="C351" s="56">
        <v>87000.0</v>
      </c>
      <c r="D351" s="57">
        <f t="shared" si="11"/>
        <v>84390</v>
      </c>
      <c r="E351" s="58">
        <v>0.0</v>
      </c>
      <c r="F351" s="58"/>
      <c r="G351" s="34"/>
    </row>
    <row r="352" ht="14.25" customHeight="1">
      <c r="A352" s="207" t="s">
        <v>1406</v>
      </c>
      <c r="B352" s="204" t="s">
        <v>1407</v>
      </c>
      <c r="C352" s="218">
        <v>71000.0</v>
      </c>
      <c r="D352" s="206">
        <f t="shared" si="11"/>
        <v>68870</v>
      </c>
      <c r="E352" s="58"/>
      <c r="F352" s="58"/>
      <c r="G352" s="34"/>
    </row>
    <row r="353" ht="14.25" customHeight="1">
      <c r="A353" s="63">
        <v>20864.0</v>
      </c>
      <c r="B353" s="67" t="s">
        <v>1410</v>
      </c>
      <c r="C353" s="56">
        <v>87000.0</v>
      </c>
      <c r="D353" s="57">
        <f t="shared" si="11"/>
        <v>84390</v>
      </c>
      <c r="E353" s="58">
        <v>0.0</v>
      </c>
      <c r="F353" s="58"/>
      <c r="I353" s="161"/>
    </row>
    <row r="354" ht="14.25" customHeight="1">
      <c r="A354" s="207" t="s">
        <v>1415</v>
      </c>
      <c r="B354" s="204" t="s">
        <v>1416</v>
      </c>
      <c r="C354" s="218">
        <v>87000.0</v>
      </c>
      <c r="D354" s="206">
        <f t="shared" si="11"/>
        <v>84390</v>
      </c>
      <c r="E354" s="58">
        <v>1.0</v>
      </c>
      <c r="F354" s="58"/>
    </row>
    <row r="355" ht="14.25" customHeight="1">
      <c r="A355" s="63" t="s">
        <v>1419</v>
      </c>
      <c r="B355" s="55" t="s">
        <v>1420</v>
      </c>
      <c r="C355" s="56">
        <v>70000.0</v>
      </c>
      <c r="D355" s="57">
        <f t="shared" si="11"/>
        <v>67900</v>
      </c>
      <c r="E355" s="58"/>
      <c r="F355" s="58"/>
    </row>
    <row r="356" ht="14.25" customHeight="1">
      <c r="A356" s="207" t="s">
        <v>1422</v>
      </c>
      <c r="B356" s="236" t="s">
        <v>1423</v>
      </c>
      <c r="C356" s="218">
        <v>27000.0</v>
      </c>
      <c r="D356" s="206">
        <f t="shared" si="11"/>
        <v>26190</v>
      </c>
      <c r="E356" s="58"/>
      <c r="F356" s="58"/>
    </row>
    <row r="357" ht="14.25" customHeight="1">
      <c r="A357" s="63" t="s">
        <v>1425</v>
      </c>
      <c r="B357" s="55" t="s">
        <v>1426</v>
      </c>
      <c r="C357" s="56">
        <v>29000.0</v>
      </c>
      <c r="D357" s="57">
        <f t="shared" si="11"/>
        <v>28130</v>
      </c>
      <c r="E357" s="58"/>
      <c r="F357" s="58"/>
    </row>
    <row r="358" ht="14.25" customHeight="1">
      <c r="A358" s="207" t="s">
        <v>1427</v>
      </c>
      <c r="B358" s="236" t="s">
        <v>1429</v>
      </c>
      <c r="C358" s="218">
        <v>110000.0</v>
      </c>
      <c r="D358" s="206">
        <f t="shared" si="11"/>
        <v>106700</v>
      </c>
      <c r="E358" s="58"/>
      <c r="F358" s="58"/>
    </row>
    <row r="359" ht="14.25" customHeight="1">
      <c r="A359" s="63" t="s">
        <v>1431</v>
      </c>
      <c r="B359" s="67" t="s">
        <v>1432</v>
      </c>
      <c r="C359" s="56">
        <v>105000.0</v>
      </c>
      <c r="D359" s="57">
        <f t="shared" si="11"/>
        <v>101850</v>
      </c>
      <c r="E359" s="58">
        <v>0.0</v>
      </c>
      <c r="F359" s="58"/>
    </row>
    <row r="360" ht="14.25" customHeight="1">
      <c r="A360" s="207" t="s">
        <v>1434</v>
      </c>
      <c r="B360" s="236" t="s">
        <v>1435</v>
      </c>
      <c r="C360" s="218">
        <v>86000.0</v>
      </c>
      <c r="D360" s="243">
        <f t="shared" si="11"/>
        <v>83420</v>
      </c>
      <c r="E360" s="58"/>
      <c r="F360" s="58"/>
      <c r="G360" s="34"/>
    </row>
    <row r="361" ht="14.25" customHeight="1">
      <c r="A361" s="63" t="s">
        <v>1438</v>
      </c>
      <c r="B361" s="55" t="s">
        <v>1440</v>
      </c>
      <c r="C361" s="56">
        <v>98000.0</v>
      </c>
      <c r="D361" s="89">
        <f t="shared" si="11"/>
        <v>95060</v>
      </c>
      <c r="E361" s="58"/>
      <c r="F361" s="58"/>
    </row>
    <row r="362" ht="14.25" customHeight="1">
      <c r="A362" s="207" t="s">
        <v>1442</v>
      </c>
      <c r="B362" s="236" t="s">
        <v>1443</v>
      </c>
      <c r="C362" s="218">
        <v>90000.0</v>
      </c>
      <c r="D362" s="243">
        <f t="shared" si="11"/>
        <v>87300</v>
      </c>
      <c r="E362" s="58"/>
      <c r="F362" s="58"/>
    </row>
    <row r="363" ht="14.25" customHeight="1">
      <c r="A363" s="63" t="s">
        <v>1444</v>
      </c>
      <c r="B363" s="55" t="s">
        <v>1445</v>
      </c>
      <c r="C363" s="56">
        <v>45000.0</v>
      </c>
      <c r="D363" s="89">
        <f t="shared" si="11"/>
        <v>43650</v>
      </c>
      <c r="E363" s="58"/>
      <c r="F363" s="58"/>
    </row>
    <row r="364" ht="14.25" customHeight="1">
      <c r="A364" s="207" t="s">
        <v>1446</v>
      </c>
      <c r="B364" s="236" t="s">
        <v>1447</v>
      </c>
      <c r="C364" s="218">
        <v>120000.0</v>
      </c>
      <c r="D364" s="243">
        <f t="shared" si="11"/>
        <v>116400</v>
      </c>
      <c r="E364" s="58"/>
      <c r="F364" s="58"/>
    </row>
    <row r="365" ht="14.25" customHeight="1">
      <c r="A365" s="63" t="s">
        <v>1449</v>
      </c>
      <c r="B365" s="55" t="s">
        <v>1450</v>
      </c>
      <c r="C365" s="56">
        <v>90000.0</v>
      </c>
      <c r="D365" s="89">
        <f t="shared" si="11"/>
        <v>87300</v>
      </c>
      <c r="E365" s="58"/>
      <c r="F365" s="58"/>
    </row>
    <row r="366" ht="14.25" customHeight="1">
      <c r="A366" s="207"/>
      <c r="B366" s="236" t="s">
        <v>1451</v>
      </c>
      <c r="C366" s="218">
        <v>97000.0</v>
      </c>
      <c r="D366" s="243">
        <f t="shared" si="11"/>
        <v>94090</v>
      </c>
      <c r="E366" s="58"/>
      <c r="F366" s="58"/>
    </row>
    <row r="367" ht="14.25" customHeight="1">
      <c r="A367" s="63" t="s">
        <v>1453</v>
      </c>
      <c r="B367" s="55" t="s">
        <v>1454</v>
      </c>
      <c r="C367" s="56">
        <v>127000.0</v>
      </c>
      <c r="D367" s="89">
        <f t="shared" si="11"/>
        <v>123190</v>
      </c>
      <c r="E367" s="58"/>
      <c r="F367" s="58"/>
    </row>
    <row r="368" ht="14.25" customHeight="1">
      <c r="A368" s="207">
        <v>35094.0</v>
      </c>
      <c r="B368" s="236" t="s">
        <v>1457</v>
      </c>
      <c r="C368" s="218">
        <v>33000.0</v>
      </c>
      <c r="D368" s="206">
        <f t="shared" si="11"/>
        <v>32010</v>
      </c>
      <c r="E368" s="58"/>
      <c r="F368" s="58"/>
    </row>
    <row r="369" ht="14.25" customHeight="1">
      <c r="A369" s="63"/>
      <c r="B369" s="55" t="s">
        <v>1459</v>
      </c>
      <c r="C369" s="56">
        <v>45000.0</v>
      </c>
      <c r="D369" s="57"/>
      <c r="E369" s="58"/>
      <c r="F369" s="58"/>
    </row>
    <row r="370" ht="14.25" customHeight="1">
      <c r="A370" s="207" t="s">
        <v>1461</v>
      </c>
      <c r="B370" s="236" t="s">
        <v>1462</v>
      </c>
      <c r="C370" s="218">
        <v>33000.0</v>
      </c>
      <c r="D370" s="206">
        <f t="shared" ref="D370:D405" si="12">C370*0.97</f>
        <v>32010</v>
      </c>
      <c r="E370" s="58"/>
      <c r="F370" s="58"/>
    </row>
    <row r="371" ht="14.25" customHeight="1">
      <c r="A371" s="63" t="s">
        <v>1464</v>
      </c>
      <c r="B371" s="55" t="s">
        <v>1465</v>
      </c>
      <c r="C371" s="56">
        <v>39000.0</v>
      </c>
      <c r="D371" s="57">
        <f t="shared" si="12"/>
        <v>37830</v>
      </c>
      <c r="E371" s="58"/>
      <c r="F371" s="58"/>
    </row>
    <row r="372" ht="14.25" customHeight="1">
      <c r="A372" s="207" t="s">
        <v>1467</v>
      </c>
      <c r="B372" s="236" t="s">
        <v>1468</v>
      </c>
      <c r="C372" s="218">
        <v>59000.0</v>
      </c>
      <c r="D372" s="206">
        <f t="shared" si="12"/>
        <v>57230</v>
      </c>
      <c r="E372" s="58">
        <v>0.0</v>
      </c>
      <c r="F372" s="58"/>
    </row>
    <row r="373" ht="14.25" customHeight="1">
      <c r="A373" s="63">
        <v>35068.0</v>
      </c>
      <c r="B373" s="67" t="s">
        <v>1471</v>
      </c>
      <c r="C373" s="90">
        <v>21000.0</v>
      </c>
      <c r="D373" s="57">
        <f t="shared" si="12"/>
        <v>20370</v>
      </c>
      <c r="E373" s="58">
        <v>0.0</v>
      </c>
      <c r="F373" s="58"/>
    </row>
    <row r="374" ht="14.25" customHeight="1">
      <c r="A374" s="207" t="s">
        <v>1473</v>
      </c>
      <c r="B374" s="236" t="s">
        <v>1474</v>
      </c>
      <c r="C374" s="218">
        <v>17000.0</v>
      </c>
      <c r="D374" s="206">
        <f t="shared" si="12"/>
        <v>16490</v>
      </c>
      <c r="E374" s="58">
        <v>3.0</v>
      </c>
      <c r="F374" s="58"/>
    </row>
    <row r="375" ht="14.25" customHeight="1">
      <c r="A375" s="63">
        <v>35078.0</v>
      </c>
      <c r="B375" s="67" t="s">
        <v>1476</v>
      </c>
      <c r="C375" s="90">
        <v>16700.0</v>
      </c>
      <c r="D375" s="57">
        <f t="shared" si="12"/>
        <v>16199</v>
      </c>
      <c r="E375" s="58">
        <v>0.0</v>
      </c>
      <c r="F375" s="58"/>
    </row>
    <row r="376" ht="14.25" customHeight="1">
      <c r="A376" s="207">
        <v>35093.0</v>
      </c>
      <c r="B376" s="204" t="s">
        <v>1478</v>
      </c>
      <c r="C376" s="218">
        <v>16000.0</v>
      </c>
      <c r="D376" s="206">
        <f t="shared" si="12"/>
        <v>15520</v>
      </c>
      <c r="E376" s="58">
        <v>0.0</v>
      </c>
      <c r="F376" s="58"/>
    </row>
    <row r="377" ht="14.25" customHeight="1">
      <c r="A377" s="63">
        <v>2.401230515E9</v>
      </c>
      <c r="B377" s="55" t="s">
        <v>1480</v>
      </c>
      <c r="C377" s="56">
        <v>19000.0</v>
      </c>
      <c r="D377" s="57">
        <f t="shared" si="12"/>
        <v>18430</v>
      </c>
      <c r="E377" s="58"/>
      <c r="F377" s="58"/>
    </row>
    <row r="378" ht="14.25" customHeight="1">
      <c r="A378" s="207" t="s">
        <v>1482</v>
      </c>
      <c r="B378" s="204" t="s">
        <v>1484</v>
      </c>
      <c r="C378" s="218">
        <v>23500.0</v>
      </c>
      <c r="D378" s="206">
        <f t="shared" si="12"/>
        <v>22795</v>
      </c>
      <c r="E378" s="58">
        <v>4.0</v>
      </c>
      <c r="F378" s="58"/>
    </row>
    <row r="379" ht="14.25" customHeight="1">
      <c r="A379" s="63">
        <v>35074.0</v>
      </c>
      <c r="B379" s="67" t="s">
        <v>1487</v>
      </c>
      <c r="C379" s="90">
        <v>55900.0</v>
      </c>
      <c r="D379" s="57">
        <f t="shared" si="12"/>
        <v>54223</v>
      </c>
      <c r="E379" s="58">
        <v>3.0</v>
      </c>
      <c r="F379" s="58"/>
    </row>
    <row r="380" ht="14.25" customHeight="1">
      <c r="A380" s="207">
        <v>35097.0</v>
      </c>
      <c r="B380" s="204" t="s">
        <v>1490</v>
      </c>
      <c r="C380" s="205">
        <v>125900.0</v>
      </c>
      <c r="D380" s="206">
        <f t="shared" si="12"/>
        <v>122123</v>
      </c>
      <c r="E380" s="58">
        <v>0.0</v>
      </c>
      <c r="F380" s="58"/>
    </row>
    <row r="381" ht="14.25" customHeight="1">
      <c r="A381" s="63">
        <v>35107.0</v>
      </c>
      <c r="B381" s="55" t="s">
        <v>1492</v>
      </c>
      <c r="C381" s="56">
        <v>102000.0</v>
      </c>
      <c r="D381" s="57">
        <f t="shared" si="12"/>
        <v>98940</v>
      </c>
      <c r="E381" s="58"/>
      <c r="F381" s="58"/>
    </row>
    <row r="382" ht="14.25" customHeight="1">
      <c r="A382" s="207" t="s">
        <v>1495</v>
      </c>
      <c r="B382" s="204" t="s">
        <v>1496</v>
      </c>
      <c r="C382" s="218">
        <v>134000.0</v>
      </c>
      <c r="D382" s="206">
        <f t="shared" si="12"/>
        <v>129980</v>
      </c>
      <c r="E382" s="58">
        <v>0.0</v>
      </c>
      <c r="F382" s="58"/>
    </row>
    <row r="383" ht="14.25" customHeight="1">
      <c r="A383" s="63" t="s">
        <v>1499</v>
      </c>
      <c r="B383" s="55" t="s">
        <v>1500</v>
      </c>
      <c r="C383" s="56">
        <v>105000.0</v>
      </c>
      <c r="D383" s="57">
        <f t="shared" si="12"/>
        <v>101850</v>
      </c>
      <c r="E383" s="58"/>
      <c r="F383" s="58"/>
    </row>
    <row r="384" ht="14.25" customHeight="1">
      <c r="A384" s="207" t="s">
        <v>1501</v>
      </c>
      <c r="B384" s="204" t="s">
        <v>1502</v>
      </c>
      <c r="C384" s="218">
        <v>114000.0</v>
      </c>
      <c r="D384" s="206">
        <f t="shared" si="12"/>
        <v>110580</v>
      </c>
      <c r="E384" s="58">
        <v>1.0</v>
      </c>
      <c r="F384" s="58"/>
    </row>
    <row r="385" ht="14.25" customHeight="1">
      <c r="A385" s="63">
        <v>256987.0</v>
      </c>
      <c r="B385" s="55" t="s">
        <v>1503</v>
      </c>
      <c r="C385" s="56">
        <v>92000.0</v>
      </c>
      <c r="D385" s="57">
        <f t="shared" si="12"/>
        <v>89240</v>
      </c>
      <c r="E385" s="58">
        <v>0.0</v>
      </c>
      <c r="F385" s="58"/>
    </row>
    <row r="386" ht="14.25" customHeight="1">
      <c r="A386" s="207" t="s">
        <v>1504</v>
      </c>
      <c r="B386" s="204" t="s">
        <v>1505</v>
      </c>
      <c r="C386" s="218">
        <v>156000.0</v>
      </c>
      <c r="D386" s="206">
        <f t="shared" si="12"/>
        <v>151320</v>
      </c>
      <c r="E386" s="58">
        <v>0.0</v>
      </c>
      <c r="F386" s="58"/>
      <c r="G386" s="34"/>
    </row>
    <row r="387" ht="14.25" customHeight="1">
      <c r="A387" s="63" t="s">
        <v>1507</v>
      </c>
      <c r="B387" s="55" t="s">
        <v>1509</v>
      </c>
      <c r="C387" s="56">
        <v>105000.0</v>
      </c>
      <c r="D387" s="57">
        <f t="shared" si="12"/>
        <v>101850</v>
      </c>
      <c r="E387" s="58"/>
      <c r="F387" s="58"/>
    </row>
    <row r="388" ht="14.25" customHeight="1">
      <c r="A388" s="207" t="s">
        <v>1511</v>
      </c>
      <c r="B388" s="236" t="s">
        <v>1512</v>
      </c>
      <c r="C388" s="218">
        <v>72000.0</v>
      </c>
      <c r="D388" s="206">
        <f t="shared" si="12"/>
        <v>69840</v>
      </c>
      <c r="E388" s="58"/>
      <c r="F388" s="58"/>
    </row>
    <row r="389" ht="14.25" customHeight="1">
      <c r="A389" s="63">
        <v>35135.0</v>
      </c>
      <c r="B389" s="67" t="s">
        <v>1514</v>
      </c>
      <c r="C389" s="56">
        <v>90000.0</v>
      </c>
      <c r="D389" s="57">
        <f t="shared" si="12"/>
        <v>87300</v>
      </c>
      <c r="E389" s="58">
        <v>0.0</v>
      </c>
      <c r="F389" s="58"/>
    </row>
    <row r="390" ht="14.25" customHeight="1">
      <c r="A390" s="207" t="s">
        <v>1517</v>
      </c>
      <c r="B390" s="236" t="s">
        <v>1518</v>
      </c>
      <c r="C390" s="218">
        <v>120000.0</v>
      </c>
      <c r="D390" s="206">
        <f t="shared" si="12"/>
        <v>116400</v>
      </c>
      <c r="E390" s="58"/>
      <c r="F390" s="58"/>
      <c r="G390" s="34"/>
    </row>
    <row r="391" ht="14.25" customHeight="1">
      <c r="A391" s="63" t="s">
        <v>1520</v>
      </c>
      <c r="B391" s="67" t="s">
        <v>1522</v>
      </c>
      <c r="C391" s="56">
        <v>125000.0</v>
      </c>
      <c r="D391" s="57">
        <f t="shared" si="12"/>
        <v>121250</v>
      </c>
      <c r="E391" s="58"/>
      <c r="F391" s="58"/>
    </row>
    <row r="392" ht="14.25" customHeight="1">
      <c r="A392" s="207" t="s">
        <v>1524</v>
      </c>
      <c r="B392" s="204" t="s">
        <v>1525</v>
      </c>
      <c r="C392" s="218">
        <v>105000.0</v>
      </c>
      <c r="D392" s="206">
        <f t="shared" si="12"/>
        <v>101850</v>
      </c>
      <c r="E392" s="58"/>
      <c r="F392" s="58"/>
      <c r="G392" s="34"/>
    </row>
    <row r="393" ht="14.25" customHeight="1">
      <c r="A393" s="63" t="s">
        <v>1527</v>
      </c>
      <c r="B393" s="55" t="s">
        <v>1529</v>
      </c>
      <c r="C393" s="56">
        <v>154000.0</v>
      </c>
      <c r="D393" s="57">
        <f t="shared" si="12"/>
        <v>149380</v>
      </c>
      <c r="E393" s="58"/>
      <c r="F393" s="58"/>
      <c r="G393" s="34"/>
    </row>
    <row r="394" ht="14.25" customHeight="1">
      <c r="A394" s="207" t="s">
        <v>1531</v>
      </c>
      <c r="B394" s="236" t="s">
        <v>1533</v>
      </c>
      <c r="C394" s="218">
        <v>145000.0</v>
      </c>
      <c r="D394" s="206">
        <f t="shared" si="12"/>
        <v>140650</v>
      </c>
      <c r="E394" s="58"/>
      <c r="F394" s="58"/>
      <c r="G394" s="34" t="s">
        <v>78</v>
      </c>
    </row>
    <row r="395" ht="14.25" customHeight="1">
      <c r="A395" s="63" t="s">
        <v>1535</v>
      </c>
      <c r="B395" s="67" t="s">
        <v>1537</v>
      </c>
      <c r="C395" s="56">
        <v>165000.0</v>
      </c>
      <c r="D395" s="57">
        <f t="shared" si="12"/>
        <v>160050</v>
      </c>
      <c r="E395" s="58">
        <v>1.0</v>
      </c>
      <c r="F395" s="58"/>
      <c r="G395" s="34" t="s">
        <v>78</v>
      </c>
    </row>
    <row r="396" ht="14.25" customHeight="1">
      <c r="A396" s="207"/>
      <c r="B396" s="340" t="s">
        <v>1538</v>
      </c>
      <c r="C396" s="341">
        <v>115000.0</v>
      </c>
      <c r="D396" s="206">
        <f t="shared" si="12"/>
        <v>111550</v>
      </c>
      <c r="E396" s="58"/>
      <c r="F396" s="58"/>
    </row>
    <row r="397" ht="14.25" customHeight="1">
      <c r="A397" s="63" t="s">
        <v>1539</v>
      </c>
      <c r="B397" s="55" t="s">
        <v>1540</v>
      </c>
      <c r="C397" s="342">
        <v>115000.0</v>
      </c>
      <c r="D397" s="57">
        <f t="shared" si="12"/>
        <v>111550</v>
      </c>
      <c r="E397" s="58"/>
      <c r="F397" s="58"/>
    </row>
    <row r="398" ht="14.25" customHeight="1">
      <c r="A398" s="207" t="s">
        <v>1541</v>
      </c>
      <c r="B398" s="236" t="s">
        <v>1542</v>
      </c>
      <c r="C398" s="343">
        <v>99000.0</v>
      </c>
      <c r="D398" s="206">
        <f t="shared" si="12"/>
        <v>96030</v>
      </c>
      <c r="E398" s="58"/>
      <c r="F398" s="58"/>
    </row>
    <row r="399" ht="14.25" customHeight="1">
      <c r="A399" s="63" t="s">
        <v>1543</v>
      </c>
      <c r="B399" s="55" t="s">
        <v>1544</v>
      </c>
      <c r="C399" s="342">
        <v>102000.0</v>
      </c>
      <c r="D399" s="57">
        <f t="shared" si="12"/>
        <v>98940</v>
      </c>
      <c r="E399" s="58"/>
      <c r="F399" s="58"/>
    </row>
    <row r="400" ht="14.25" customHeight="1">
      <c r="A400" s="207" t="s">
        <v>1545</v>
      </c>
      <c r="B400" s="204" t="s">
        <v>1546</v>
      </c>
      <c r="C400" s="343">
        <v>215000.0</v>
      </c>
      <c r="D400" s="206">
        <f t="shared" si="12"/>
        <v>208550</v>
      </c>
      <c r="E400" s="58"/>
      <c r="F400" s="58"/>
    </row>
    <row r="401" ht="14.25" customHeight="1">
      <c r="A401" s="63" t="s">
        <v>1547</v>
      </c>
      <c r="B401" s="55" t="s">
        <v>1548</v>
      </c>
      <c r="C401" s="56">
        <v>86000.0</v>
      </c>
      <c r="D401" s="89">
        <f t="shared" si="12"/>
        <v>83420</v>
      </c>
      <c r="E401" s="58"/>
      <c r="F401" s="58"/>
      <c r="G401" s="34"/>
    </row>
    <row r="402" ht="14.25" customHeight="1">
      <c r="A402" s="207" t="s">
        <v>1549</v>
      </c>
      <c r="B402" s="236" t="s">
        <v>1550</v>
      </c>
      <c r="C402" s="218">
        <v>98000.0</v>
      </c>
      <c r="D402" s="243">
        <f t="shared" si="12"/>
        <v>95060</v>
      </c>
      <c r="E402" s="58"/>
      <c r="F402" s="58"/>
      <c r="G402" s="34"/>
    </row>
    <row r="403" ht="14.25" customHeight="1">
      <c r="A403" s="63" t="s">
        <v>1551</v>
      </c>
      <c r="B403" s="55" t="s">
        <v>1552</v>
      </c>
      <c r="C403" s="56">
        <v>149000.0</v>
      </c>
      <c r="D403" s="89">
        <f t="shared" si="12"/>
        <v>144530</v>
      </c>
      <c r="E403" s="58"/>
      <c r="F403" s="58"/>
      <c r="G403" s="34"/>
    </row>
    <row r="404" ht="14.25" customHeight="1">
      <c r="A404" s="207" t="s">
        <v>1553</v>
      </c>
      <c r="B404" s="236" t="s">
        <v>1554</v>
      </c>
      <c r="C404" s="218">
        <v>170000.0</v>
      </c>
      <c r="D404" s="243">
        <f t="shared" si="12"/>
        <v>164900</v>
      </c>
      <c r="E404" s="58"/>
      <c r="F404" s="58"/>
      <c r="G404" s="34" t="s">
        <v>42</v>
      </c>
    </row>
    <row r="405" ht="14.25" customHeight="1">
      <c r="A405" s="63" t="s">
        <v>1555</v>
      </c>
      <c r="B405" s="55" t="s">
        <v>1556</v>
      </c>
      <c r="C405" s="56">
        <v>125000.0</v>
      </c>
      <c r="D405" s="89">
        <f t="shared" si="12"/>
        <v>121250</v>
      </c>
      <c r="E405" s="58"/>
      <c r="F405" s="58"/>
      <c r="G405" s="34"/>
    </row>
    <row r="406" ht="14.25" customHeight="1">
      <c r="A406" s="207" t="s">
        <v>1557</v>
      </c>
      <c r="B406" s="236" t="s">
        <v>1559</v>
      </c>
      <c r="C406" s="218">
        <v>160000.0</v>
      </c>
      <c r="D406" s="243">
        <v>155000.0</v>
      </c>
      <c r="E406" s="58"/>
      <c r="F406" s="58"/>
      <c r="G406" s="34" t="s">
        <v>42</v>
      </c>
    </row>
    <row r="407" ht="14.25" customHeight="1">
      <c r="A407" s="63" t="s">
        <v>1560</v>
      </c>
      <c r="B407" s="55" t="s">
        <v>1561</v>
      </c>
      <c r="C407" s="56">
        <v>160000.0</v>
      </c>
      <c r="D407" s="89">
        <v>155000.0</v>
      </c>
      <c r="E407" s="58"/>
      <c r="F407" s="58"/>
      <c r="G407" s="34" t="s">
        <v>42</v>
      </c>
    </row>
    <row r="408" ht="14.25" customHeight="1">
      <c r="A408" s="207" t="s">
        <v>1562</v>
      </c>
      <c r="B408" s="236" t="s">
        <v>1563</v>
      </c>
      <c r="C408" s="218">
        <v>115000.0</v>
      </c>
      <c r="D408" s="243">
        <v>155000.0</v>
      </c>
      <c r="E408" s="58"/>
      <c r="F408" s="58"/>
      <c r="G408" s="34" t="s">
        <v>42</v>
      </c>
    </row>
    <row r="409" ht="14.25" customHeight="1">
      <c r="A409" s="63" t="s">
        <v>1564</v>
      </c>
      <c r="B409" s="55" t="s">
        <v>1565</v>
      </c>
      <c r="C409" s="56">
        <v>169000.0</v>
      </c>
      <c r="D409" s="89">
        <v>155000.0</v>
      </c>
      <c r="E409" s="58"/>
      <c r="F409" s="58"/>
      <c r="G409" s="34"/>
    </row>
    <row r="410" ht="14.25" customHeight="1">
      <c r="A410" s="207" t="s">
        <v>1567</v>
      </c>
      <c r="B410" s="236" t="s">
        <v>1568</v>
      </c>
      <c r="C410" s="218">
        <v>300000.0</v>
      </c>
      <c r="D410" s="206">
        <f t="shared" ref="D410:D415" si="13">C410*0.97</f>
        <v>291000</v>
      </c>
      <c r="E410" s="58"/>
      <c r="F410" s="58"/>
      <c r="G410" s="34"/>
    </row>
    <row r="411" ht="14.25" customHeight="1">
      <c r="A411" s="63" t="s">
        <v>1571</v>
      </c>
      <c r="B411" s="55" t="s">
        <v>1572</v>
      </c>
      <c r="C411" s="56">
        <v>320000.0</v>
      </c>
      <c r="D411" s="57">
        <f t="shared" si="13"/>
        <v>310400</v>
      </c>
      <c r="E411" s="58"/>
      <c r="F411" s="58"/>
      <c r="G411" s="34"/>
    </row>
    <row r="412" ht="14.25" customHeight="1">
      <c r="A412" s="207" t="s">
        <v>1575</v>
      </c>
      <c r="B412" s="236" t="s">
        <v>1576</v>
      </c>
      <c r="C412" s="218">
        <v>320000.0</v>
      </c>
      <c r="D412" s="206">
        <f t="shared" si="13"/>
        <v>310400</v>
      </c>
      <c r="E412" s="58"/>
      <c r="F412" s="58"/>
      <c r="G412" s="34"/>
    </row>
    <row r="413" ht="14.25" customHeight="1">
      <c r="A413" s="63" t="s">
        <v>1577</v>
      </c>
      <c r="B413" s="55" t="s">
        <v>1578</v>
      </c>
      <c r="C413" s="56">
        <v>320000.0</v>
      </c>
      <c r="D413" s="57">
        <f t="shared" si="13"/>
        <v>310400</v>
      </c>
      <c r="E413" s="58"/>
      <c r="F413" s="58"/>
      <c r="G413" s="34"/>
    </row>
    <row r="414" ht="14.25" customHeight="1">
      <c r="A414" s="207" t="s">
        <v>1579</v>
      </c>
      <c r="B414" s="236" t="s">
        <v>1580</v>
      </c>
      <c r="C414" s="218">
        <v>81000.0</v>
      </c>
      <c r="D414" s="206">
        <f t="shared" si="13"/>
        <v>78570</v>
      </c>
      <c r="E414" s="58"/>
      <c r="F414" s="58"/>
    </row>
    <row r="415" ht="14.25" customHeight="1">
      <c r="A415" s="63" t="s">
        <v>1582</v>
      </c>
      <c r="B415" s="55" t="s">
        <v>1583</v>
      </c>
      <c r="C415" s="56">
        <v>135000.0</v>
      </c>
      <c r="D415" s="57">
        <f t="shared" si="13"/>
        <v>130950</v>
      </c>
      <c r="E415" s="58">
        <v>0.0</v>
      </c>
      <c r="F415" s="58"/>
    </row>
    <row r="416" ht="14.25" customHeight="1">
      <c r="A416" s="207"/>
      <c r="B416" s="236" t="s">
        <v>1584</v>
      </c>
      <c r="C416" s="218">
        <v>8.0</v>
      </c>
      <c r="D416" s="206"/>
      <c r="E416" s="58"/>
      <c r="F416" s="58"/>
    </row>
    <row r="417" ht="14.25" customHeight="1">
      <c r="A417" s="63" t="s">
        <v>1585</v>
      </c>
      <c r="B417" s="55" t="s">
        <v>1586</v>
      </c>
      <c r="C417" s="56">
        <v>72000.0</v>
      </c>
      <c r="D417" s="57">
        <f>C417*0.97</f>
        <v>69840</v>
      </c>
      <c r="E417" s="58">
        <v>2.0</v>
      </c>
      <c r="F417" s="58"/>
    </row>
    <row r="418" ht="48.0" customHeight="1">
      <c r="A418" s="345"/>
      <c r="B418" s="347"/>
      <c r="C418" s="349"/>
      <c r="D418" s="351"/>
      <c r="E418" s="58">
        <v>0.0</v>
      </c>
      <c r="F418" s="58"/>
    </row>
    <row r="419" ht="14.25" customHeight="1">
      <c r="A419" s="63">
        <v>34146.0</v>
      </c>
      <c r="B419" s="55" t="s">
        <v>1592</v>
      </c>
      <c r="C419" s="56">
        <v>16900.0</v>
      </c>
      <c r="D419" s="89">
        <v>16900.0</v>
      </c>
      <c r="E419" s="58">
        <v>0.0</v>
      </c>
      <c r="F419" s="58"/>
      <c r="G419" s="34" t="s">
        <v>78</v>
      </c>
    </row>
    <row r="420" ht="14.25" customHeight="1">
      <c r="A420" s="352">
        <v>34147.0</v>
      </c>
      <c r="B420" s="353" t="s">
        <v>1597</v>
      </c>
      <c r="C420" s="354">
        <v>18900.0</v>
      </c>
      <c r="D420" s="355">
        <f t="shared" ref="D420:D435" si="14">C420*0.97</f>
        <v>18333</v>
      </c>
      <c r="E420" s="58">
        <v>0.0</v>
      </c>
      <c r="F420" s="58"/>
    </row>
    <row r="421" ht="14.25" customHeight="1">
      <c r="A421" s="63" t="s">
        <v>1601</v>
      </c>
      <c r="B421" s="67" t="s">
        <v>1602</v>
      </c>
      <c r="C421" s="56">
        <v>19900.0</v>
      </c>
      <c r="D421" s="57">
        <f t="shared" si="14"/>
        <v>19303</v>
      </c>
      <c r="E421" s="58">
        <v>0.0</v>
      </c>
      <c r="F421" s="58"/>
    </row>
    <row r="422" ht="14.25" customHeight="1">
      <c r="A422" s="352">
        <v>2.401251162E9</v>
      </c>
      <c r="B422" s="356" t="s">
        <v>1604</v>
      </c>
      <c r="C422" s="354">
        <v>23000.0</v>
      </c>
      <c r="D422" s="355">
        <f t="shared" si="14"/>
        <v>22310</v>
      </c>
      <c r="E422" s="58"/>
      <c r="F422" s="58"/>
    </row>
    <row r="423" ht="14.25" customHeight="1">
      <c r="A423" s="63" t="s">
        <v>1607</v>
      </c>
      <c r="B423" s="67" t="s">
        <v>1608</v>
      </c>
      <c r="C423" s="56">
        <v>19800.0</v>
      </c>
      <c r="D423" s="57">
        <f t="shared" si="14"/>
        <v>19206</v>
      </c>
      <c r="E423" s="58">
        <v>1.0</v>
      </c>
      <c r="F423" s="58"/>
    </row>
    <row r="424" ht="14.25" customHeight="1">
      <c r="A424" s="352" t="s">
        <v>1610</v>
      </c>
      <c r="B424" s="356" t="s">
        <v>1611</v>
      </c>
      <c r="C424" s="354">
        <v>24900.0</v>
      </c>
      <c r="D424" s="355">
        <f t="shared" si="14"/>
        <v>24153</v>
      </c>
      <c r="E424" s="58">
        <v>2.0</v>
      </c>
      <c r="F424" s="58"/>
    </row>
    <row r="425" ht="14.25" customHeight="1">
      <c r="A425" s="63" t="s">
        <v>1612</v>
      </c>
      <c r="B425" s="67" t="s">
        <v>1613</v>
      </c>
      <c r="C425" s="56">
        <v>19800.0</v>
      </c>
      <c r="D425" s="57">
        <f t="shared" si="14"/>
        <v>19206</v>
      </c>
      <c r="E425" s="58">
        <v>9.0</v>
      </c>
      <c r="F425" s="58"/>
    </row>
    <row r="426" ht="14.25" customHeight="1">
      <c r="A426" s="352">
        <v>34149.0</v>
      </c>
      <c r="B426" s="353" t="s">
        <v>1615</v>
      </c>
      <c r="C426" s="354">
        <v>18500.0</v>
      </c>
      <c r="D426" s="355">
        <f t="shared" si="14"/>
        <v>17945</v>
      </c>
      <c r="E426" s="58">
        <v>1.0</v>
      </c>
      <c r="F426" s="58"/>
    </row>
    <row r="427" ht="14.25" customHeight="1">
      <c r="A427" s="63">
        <v>2.409280002E9</v>
      </c>
      <c r="B427" s="55" t="s">
        <v>1617</v>
      </c>
      <c r="C427" s="56">
        <v>22000.0</v>
      </c>
      <c r="D427" s="57">
        <f t="shared" si="14"/>
        <v>21340</v>
      </c>
      <c r="E427" s="58">
        <v>0.0</v>
      </c>
      <c r="F427" s="58"/>
    </row>
    <row r="428" ht="14.25" customHeight="1">
      <c r="A428" s="352">
        <v>34154.0</v>
      </c>
      <c r="B428" s="353" t="s">
        <v>1618</v>
      </c>
      <c r="C428" s="354">
        <v>19500.0</v>
      </c>
      <c r="D428" s="355">
        <f t="shared" si="14"/>
        <v>18915</v>
      </c>
      <c r="E428" s="58">
        <v>0.0</v>
      </c>
      <c r="F428" s="58"/>
    </row>
    <row r="429" ht="14.25" customHeight="1">
      <c r="A429" s="63" t="s">
        <v>1621</v>
      </c>
      <c r="B429" s="55" t="s">
        <v>1622</v>
      </c>
      <c r="C429" s="56">
        <v>25000.0</v>
      </c>
      <c r="D429" s="57">
        <f t="shared" si="14"/>
        <v>24250</v>
      </c>
      <c r="E429" s="58">
        <v>0.0</v>
      </c>
      <c r="F429" s="58"/>
    </row>
    <row r="430" ht="14.25" customHeight="1">
      <c r="A430" s="352">
        <v>34156.0</v>
      </c>
      <c r="B430" s="353" t="s">
        <v>1626</v>
      </c>
      <c r="C430" s="354">
        <v>21000.0</v>
      </c>
      <c r="D430" s="355">
        <f t="shared" si="14"/>
        <v>20370</v>
      </c>
      <c r="E430" s="58">
        <v>0.0</v>
      </c>
      <c r="F430" s="58"/>
    </row>
    <row r="431" ht="14.25" customHeight="1">
      <c r="A431" s="63">
        <v>34142.0</v>
      </c>
      <c r="B431" s="67" t="s">
        <v>1629</v>
      </c>
      <c r="C431" s="56">
        <v>21000.0</v>
      </c>
      <c r="D431" s="57">
        <f t="shared" si="14"/>
        <v>20370</v>
      </c>
      <c r="E431" s="58">
        <v>0.0</v>
      </c>
      <c r="F431" s="58"/>
    </row>
    <row r="432" ht="14.25" customHeight="1">
      <c r="A432" s="352" t="s">
        <v>1632</v>
      </c>
      <c r="B432" s="353" t="s">
        <v>1633</v>
      </c>
      <c r="C432" s="354">
        <v>23000.0</v>
      </c>
      <c r="D432" s="355">
        <f t="shared" si="14"/>
        <v>22310</v>
      </c>
      <c r="E432" s="58">
        <v>0.0</v>
      </c>
      <c r="F432" s="58"/>
    </row>
    <row r="433" ht="14.25" customHeight="1">
      <c r="A433" s="63">
        <v>34151.0</v>
      </c>
      <c r="B433" s="67" t="s">
        <v>1636</v>
      </c>
      <c r="C433" s="56">
        <v>21000.0</v>
      </c>
      <c r="D433" s="57">
        <f t="shared" si="14"/>
        <v>20370</v>
      </c>
      <c r="E433" s="58">
        <v>0.0</v>
      </c>
      <c r="F433" s="58"/>
    </row>
    <row r="434" ht="14.25" customHeight="1">
      <c r="A434" s="352" t="s">
        <v>1639</v>
      </c>
      <c r="B434" s="356" t="s">
        <v>1640</v>
      </c>
      <c r="C434" s="354">
        <v>22500.0</v>
      </c>
      <c r="D434" s="355">
        <f t="shared" si="14"/>
        <v>21825</v>
      </c>
      <c r="E434" s="58"/>
      <c r="F434" s="58"/>
      <c r="G434" s="34" t="s">
        <v>78</v>
      </c>
    </row>
    <row r="435" ht="14.25" customHeight="1">
      <c r="A435" s="63">
        <v>34152.0</v>
      </c>
      <c r="B435" s="55" t="s">
        <v>1643</v>
      </c>
      <c r="C435" s="56">
        <v>22000.0</v>
      </c>
      <c r="D435" s="57">
        <f t="shared" si="14"/>
        <v>21340</v>
      </c>
      <c r="E435" s="58">
        <v>0.0</v>
      </c>
      <c r="F435" s="58"/>
    </row>
    <row r="436" ht="57.0" customHeight="1">
      <c r="A436" s="362"/>
      <c r="B436" s="363" t="s">
        <v>1647</v>
      </c>
      <c r="C436" s="172"/>
      <c r="D436" s="173"/>
      <c r="E436" s="58">
        <v>2.0</v>
      </c>
      <c r="F436" s="58"/>
      <c r="H436" s="364"/>
    </row>
    <row r="437" ht="14.25" customHeight="1">
      <c r="A437" s="63">
        <v>33118.0</v>
      </c>
      <c r="B437" s="67" t="s">
        <v>1651</v>
      </c>
      <c r="C437" s="90">
        <v>16800.0</v>
      </c>
      <c r="D437" s="57">
        <f t="shared" ref="D437:D438" si="15">C437*0.97</f>
        <v>16296</v>
      </c>
      <c r="E437" s="58">
        <v>0.0</v>
      </c>
      <c r="F437" s="58"/>
    </row>
    <row r="438" ht="14.25" customHeight="1">
      <c r="A438" s="365">
        <v>33124.0</v>
      </c>
      <c r="B438" s="181" t="s">
        <v>1653</v>
      </c>
      <c r="C438" s="366">
        <v>20000.0</v>
      </c>
      <c r="D438" s="367">
        <f t="shared" si="15"/>
        <v>19400</v>
      </c>
      <c r="E438" s="58">
        <v>0.0</v>
      </c>
      <c r="F438" s="58"/>
    </row>
    <row r="439" ht="58.5" customHeight="1">
      <c r="A439" s="368"/>
      <c r="B439" s="369" t="s">
        <v>648</v>
      </c>
      <c r="C439" s="148"/>
      <c r="D439" s="149"/>
      <c r="E439" s="58">
        <v>0.0</v>
      </c>
      <c r="F439" s="58"/>
    </row>
    <row r="440" ht="14.25" customHeight="1">
      <c r="A440" s="63">
        <v>32111.0</v>
      </c>
      <c r="B440" s="67" t="s">
        <v>1659</v>
      </c>
      <c r="C440" s="56">
        <v>16800.0</v>
      </c>
      <c r="D440" s="57">
        <f t="shared" ref="D440:D494" si="16">C440*0.97</f>
        <v>16296</v>
      </c>
      <c r="E440" s="58"/>
      <c r="F440" s="58"/>
      <c r="G440" s="34" t="s">
        <v>78</v>
      </c>
    </row>
    <row r="441" ht="14.25" customHeight="1">
      <c r="A441" s="371">
        <v>32115.0</v>
      </c>
      <c r="B441" s="373" t="s">
        <v>1664</v>
      </c>
      <c r="C441" s="378">
        <v>16800.0</v>
      </c>
      <c r="D441" s="379">
        <f t="shared" si="16"/>
        <v>16296</v>
      </c>
      <c r="E441" s="58">
        <v>0.0</v>
      </c>
      <c r="F441" s="58"/>
    </row>
    <row r="442" ht="14.25" customHeight="1">
      <c r="A442" s="63">
        <v>32121.0</v>
      </c>
      <c r="B442" s="67" t="s">
        <v>1672</v>
      </c>
      <c r="C442" s="56">
        <v>17900.0</v>
      </c>
      <c r="D442" s="57">
        <f t="shared" si="16"/>
        <v>17363</v>
      </c>
      <c r="E442" s="58">
        <v>2.0</v>
      </c>
      <c r="F442" s="58"/>
    </row>
    <row r="443" ht="14.25" customHeight="1">
      <c r="A443" s="371">
        <v>32121.0</v>
      </c>
      <c r="B443" s="381" t="s">
        <v>1675</v>
      </c>
      <c r="C443" s="378">
        <v>18500.0</v>
      </c>
      <c r="D443" s="379">
        <f t="shared" si="16"/>
        <v>17945</v>
      </c>
      <c r="E443" s="58"/>
      <c r="F443" s="58"/>
    </row>
    <row r="444" ht="14.25" customHeight="1">
      <c r="A444" s="63">
        <v>32117.0</v>
      </c>
      <c r="B444" s="67" t="s">
        <v>1680</v>
      </c>
      <c r="C444" s="56">
        <v>19000.0</v>
      </c>
      <c r="D444" s="57">
        <f t="shared" si="16"/>
        <v>18430</v>
      </c>
      <c r="E444" s="58">
        <v>4.0</v>
      </c>
      <c r="F444" s="58"/>
    </row>
    <row r="445" ht="14.25" customHeight="1">
      <c r="A445" s="371">
        <v>32119.0</v>
      </c>
      <c r="B445" s="373" t="s">
        <v>1689</v>
      </c>
      <c r="C445" s="378">
        <v>19000.0</v>
      </c>
      <c r="D445" s="379">
        <f t="shared" si="16"/>
        <v>18430</v>
      </c>
      <c r="E445" s="58">
        <v>0.0</v>
      </c>
      <c r="F445" s="58"/>
    </row>
    <row r="446" ht="14.25" customHeight="1">
      <c r="A446" s="63">
        <v>32136.0</v>
      </c>
      <c r="B446" s="67" t="s">
        <v>1691</v>
      </c>
      <c r="C446" s="56">
        <v>19000.0</v>
      </c>
      <c r="D446" s="57">
        <f t="shared" si="16"/>
        <v>18430</v>
      </c>
      <c r="E446" s="58">
        <v>5.0</v>
      </c>
      <c r="F446" s="58"/>
    </row>
    <row r="447" ht="14.25" customHeight="1">
      <c r="A447" s="371">
        <v>32138.0</v>
      </c>
      <c r="B447" s="381" t="s">
        <v>1694</v>
      </c>
      <c r="C447" s="378">
        <v>19000.0</v>
      </c>
      <c r="D447" s="379">
        <f t="shared" si="16"/>
        <v>18430</v>
      </c>
      <c r="E447" s="58">
        <v>4.0</v>
      </c>
      <c r="F447" s="58"/>
    </row>
    <row r="448" ht="14.25" customHeight="1">
      <c r="A448" s="63">
        <v>32133.0</v>
      </c>
      <c r="B448" s="67" t="s">
        <v>1697</v>
      </c>
      <c r="C448" s="56">
        <v>36500.0</v>
      </c>
      <c r="D448" s="57">
        <f t="shared" si="16"/>
        <v>35405</v>
      </c>
      <c r="E448" s="58">
        <v>6.0</v>
      </c>
      <c r="F448" s="58"/>
    </row>
    <row r="449" ht="14.25" customHeight="1">
      <c r="A449" s="371">
        <v>2.503310039E9</v>
      </c>
      <c r="B449" s="383" t="s">
        <v>1700</v>
      </c>
      <c r="C449" s="378">
        <v>37500.0</v>
      </c>
      <c r="D449" s="379">
        <f t="shared" si="16"/>
        <v>36375</v>
      </c>
      <c r="E449" s="58"/>
      <c r="F449" s="58"/>
    </row>
    <row r="450" ht="14.25" customHeight="1">
      <c r="A450" s="63">
        <v>32122.0</v>
      </c>
      <c r="B450" s="67" t="s">
        <v>1705</v>
      </c>
      <c r="C450" s="56">
        <v>55000.0</v>
      </c>
      <c r="D450" s="57">
        <f t="shared" si="16"/>
        <v>53350</v>
      </c>
      <c r="E450" s="58">
        <v>1.0</v>
      </c>
      <c r="F450" s="58"/>
    </row>
    <row r="451" ht="14.25" customHeight="1">
      <c r="A451" s="371" t="s">
        <v>1707</v>
      </c>
      <c r="B451" s="381" t="s">
        <v>1708</v>
      </c>
      <c r="C451" s="378">
        <v>36000.0</v>
      </c>
      <c r="D451" s="379">
        <f t="shared" si="16"/>
        <v>34920</v>
      </c>
      <c r="E451" s="58"/>
      <c r="F451" s="58"/>
    </row>
    <row r="452" ht="14.25" customHeight="1">
      <c r="A452" s="63"/>
      <c r="B452" s="55" t="s">
        <v>1710</v>
      </c>
      <c r="C452" s="56">
        <v>41500.0</v>
      </c>
      <c r="D452" s="57">
        <f t="shared" si="16"/>
        <v>40255</v>
      </c>
      <c r="E452" s="58"/>
      <c r="F452" s="58"/>
    </row>
    <row r="453" ht="14.25" customHeight="1">
      <c r="A453" s="371">
        <v>32140.0</v>
      </c>
      <c r="B453" s="381" t="s">
        <v>1713</v>
      </c>
      <c r="C453" s="378">
        <v>48000.0</v>
      </c>
      <c r="D453" s="379">
        <f t="shared" si="16"/>
        <v>46560</v>
      </c>
      <c r="E453" s="58">
        <v>4.0</v>
      </c>
      <c r="F453" s="58"/>
    </row>
    <row r="454" ht="14.25" customHeight="1">
      <c r="A454" s="63" t="s">
        <v>1716</v>
      </c>
      <c r="B454" s="55" t="s">
        <v>1717</v>
      </c>
      <c r="C454" s="56">
        <v>36000.0</v>
      </c>
      <c r="D454" s="57">
        <f t="shared" si="16"/>
        <v>34920</v>
      </c>
      <c r="E454" s="58">
        <v>0.0</v>
      </c>
      <c r="F454" s="58"/>
    </row>
    <row r="455" ht="14.25" customHeight="1">
      <c r="A455" s="371" t="s">
        <v>1722</v>
      </c>
      <c r="B455" s="385" t="s">
        <v>1724</v>
      </c>
      <c r="C455" s="378">
        <v>44000.0</v>
      </c>
      <c r="D455" s="379">
        <f t="shared" si="16"/>
        <v>42680</v>
      </c>
      <c r="E455" s="58"/>
      <c r="F455" s="58"/>
    </row>
    <row r="456" ht="14.25" customHeight="1">
      <c r="A456" s="63">
        <v>32126.0</v>
      </c>
      <c r="B456" s="386" t="s">
        <v>1727</v>
      </c>
      <c r="C456" s="56">
        <v>29500.0</v>
      </c>
      <c r="D456" s="57">
        <f t="shared" si="16"/>
        <v>28615</v>
      </c>
      <c r="E456" s="58"/>
      <c r="F456" s="58"/>
    </row>
    <row r="457" ht="14.25" customHeight="1">
      <c r="A457" s="371">
        <v>32128.0</v>
      </c>
      <c r="B457" s="385" t="s">
        <v>1731</v>
      </c>
      <c r="C457" s="378">
        <v>51000.0</v>
      </c>
      <c r="D457" s="379">
        <f t="shared" si="16"/>
        <v>49470</v>
      </c>
      <c r="E457" s="58"/>
      <c r="F457" s="58"/>
    </row>
    <row r="458" ht="14.25" customHeight="1">
      <c r="A458" s="63" t="s">
        <v>1734</v>
      </c>
      <c r="B458" s="386" t="s">
        <v>1735</v>
      </c>
      <c r="C458" s="56">
        <v>46000.0</v>
      </c>
      <c r="D458" s="57">
        <f t="shared" si="16"/>
        <v>44620</v>
      </c>
      <c r="E458" s="58"/>
      <c r="F458" s="58"/>
    </row>
    <row r="459" ht="14.25" customHeight="1">
      <c r="A459" s="371">
        <v>4374.0</v>
      </c>
      <c r="B459" s="385" t="s">
        <v>1738</v>
      </c>
      <c r="C459" s="378">
        <v>70000.0</v>
      </c>
      <c r="D459" s="379">
        <f t="shared" si="16"/>
        <v>67900</v>
      </c>
      <c r="E459" s="58"/>
      <c r="F459" s="58"/>
    </row>
    <row r="460" ht="14.25" customHeight="1">
      <c r="A460" s="63"/>
      <c r="B460" s="386" t="s">
        <v>1741</v>
      </c>
      <c r="C460" s="56">
        <v>90000.0</v>
      </c>
      <c r="D460" s="57">
        <f t="shared" si="16"/>
        <v>87300</v>
      </c>
      <c r="E460" s="58"/>
      <c r="F460" s="58"/>
      <c r="G460" s="34" t="s">
        <v>1743</v>
      </c>
    </row>
    <row r="461" ht="14.25" customHeight="1">
      <c r="A461" s="371">
        <v>32144.0</v>
      </c>
      <c r="B461" s="385" t="s">
        <v>1744</v>
      </c>
      <c r="C461" s="378">
        <v>52500.0</v>
      </c>
      <c r="D461" s="379">
        <f t="shared" si="16"/>
        <v>50925</v>
      </c>
      <c r="E461" s="58"/>
      <c r="F461" s="58"/>
    </row>
    <row r="462" ht="14.25" customHeight="1">
      <c r="A462" s="63" t="s">
        <v>1746</v>
      </c>
      <c r="B462" s="386" t="s">
        <v>1747</v>
      </c>
      <c r="C462" s="56">
        <v>43000.0</v>
      </c>
      <c r="D462" s="57">
        <f t="shared" si="16"/>
        <v>41710</v>
      </c>
      <c r="E462" s="58">
        <v>2.0</v>
      </c>
      <c r="F462" s="58"/>
    </row>
    <row r="463" ht="14.25" customHeight="1">
      <c r="A463" s="371" t="s">
        <v>1750</v>
      </c>
      <c r="B463" s="385" t="s">
        <v>1751</v>
      </c>
      <c r="C463" s="378">
        <v>95000.0</v>
      </c>
      <c r="D463" s="379">
        <f t="shared" si="16"/>
        <v>92150</v>
      </c>
      <c r="E463" s="58"/>
      <c r="F463" s="58"/>
    </row>
    <row r="464" ht="14.25" customHeight="1">
      <c r="A464" s="63" t="s">
        <v>1754</v>
      </c>
      <c r="B464" s="386" t="s">
        <v>1755</v>
      </c>
      <c r="C464" s="56">
        <v>102000.0</v>
      </c>
      <c r="D464" s="57">
        <f t="shared" si="16"/>
        <v>98940</v>
      </c>
      <c r="E464" s="58"/>
      <c r="F464" s="58"/>
    </row>
    <row r="465" ht="14.25" customHeight="1">
      <c r="A465" s="371" t="s">
        <v>1758</v>
      </c>
      <c r="B465" s="385" t="s">
        <v>1759</v>
      </c>
      <c r="C465" s="378">
        <v>130000.0</v>
      </c>
      <c r="D465" s="379">
        <f t="shared" si="16"/>
        <v>126100</v>
      </c>
      <c r="E465" s="58"/>
      <c r="F465" s="58"/>
    </row>
    <row r="466" ht="14.25" customHeight="1">
      <c r="A466" s="63" t="s">
        <v>1761</v>
      </c>
      <c r="B466" s="386" t="s">
        <v>1763</v>
      </c>
      <c r="C466" s="56">
        <v>162000.0</v>
      </c>
      <c r="D466" s="57">
        <f t="shared" si="16"/>
        <v>157140</v>
      </c>
      <c r="E466" s="58"/>
      <c r="F466" s="58"/>
    </row>
    <row r="467" ht="14.25" customHeight="1">
      <c r="A467" s="371" t="s">
        <v>1746</v>
      </c>
      <c r="B467" s="385" t="s">
        <v>1766</v>
      </c>
      <c r="C467" s="378">
        <v>62000.0</v>
      </c>
      <c r="D467" s="379">
        <f t="shared" si="16"/>
        <v>60140</v>
      </c>
      <c r="E467" s="58"/>
      <c r="F467" s="58"/>
    </row>
    <row r="468" ht="14.25" customHeight="1">
      <c r="A468" s="63" t="s">
        <v>1769</v>
      </c>
      <c r="B468" s="386" t="s">
        <v>1770</v>
      </c>
      <c r="C468" s="56">
        <v>52000.0</v>
      </c>
      <c r="D468" s="57">
        <f t="shared" si="16"/>
        <v>50440</v>
      </c>
      <c r="E468" s="58">
        <v>2.0</v>
      </c>
      <c r="F468" s="58"/>
    </row>
    <row r="469" ht="14.25" customHeight="1">
      <c r="A469" s="371" t="s">
        <v>1773</v>
      </c>
      <c r="B469" s="385" t="s">
        <v>1775</v>
      </c>
      <c r="C469" s="378">
        <v>149000.0</v>
      </c>
      <c r="D469" s="379">
        <f t="shared" si="16"/>
        <v>144530</v>
      </c>
      <c r="E469" s="58">
        <v>2.0</v>
      </c>
      <c r="F469" s="58"/>
    </row>
    <row r="470" ht="14.25" customHeight="1">
      <c r="A470" s="63" t="s">
        <v>1778</v>
      </c>
      <c r="B470" s="386" t="s">
        <v>1779</v>
      </c>
      <c r="C470" s="56">
        <v>99000.0</v>
      </c>
      <c r="D470" s="57">
        <f t="shared" si="16"/>
        <v>96030</v>
      </c>
      <c r="E470" s="58"/>
      <c r="F470" s="58"/>
    </row>
    <row r="471" ht="14.25" customHeight="1">
      <c r="A471" s="371" t="s">
        <v>1782</v>
      </c>
      <c r="B471" s="385" t="s">
        <v>1784</v>
      </c>
      <c r="C471" s="378">
        <v>104000.0</v>
      </c>
      <c r="D471" s="379">
        <f t="shared" si="16"/>
        <v>100880</v>
      </c>
      <c r="E471" s="58"/>
      <c r="F471" s="58"/>
    </row>
    <row r="472" ht="14.25" customHeight="1">
      <c r="A472" s="63" t="s">
        <v>1786</v>
      </c>
      <c r="B472" s="386" t="s">
        <v>1787</v>
      </c>
      <c r="C472" s="56">
        <v>145000.0</v>
      </c>
      <c r="D472" s="57">
        <f t="shared" si="16"/>
        <v>140650</v>
      </c>
      <c r="E472" s="58"/>
      <c r="F472" s="58"/>
    </row>
    <row r="473" ht="14.25" customHeight="1">
      <c r="A473" s="371" t="s">
        <v>1789</v>
      </c>
      <c r="B473" s="385" t="s">
        <v>1790</v>
      </c>
      <c r="C473" s="378">
        <v>175000.0</v>
      </c>
      <c r="D473" s="379">
        <f t="shared" si="16"/>
        <v>169750</v>
      </c>
      <c r="E473" s="58"/>
      <c r="F473" s="58"/>
    </row>
    <row r="474" ht="14.25" customHeight="1">
      <c r="A474" s="63" t="s">
        <v>1791</v>
      </c>
      <c r="B474" s="386" t="s">
        <v>1792</v>
      </c>
      <c r="C474" s="56">
        <v>58000.0</v>
      </c>
      <c r="D474" s="57">
        <f t="shared" si="16"/>
        <v>56260</v>
      </c>
      <c r="E474" s="58"/>
      <c r="F474" s="58"/>
    </row>
    <row r="475" ht="14.25" customHeight="1">
      <c r="A475" s="371" t="s">
        <v>1793</v>
      </c>
      <c r="B475" s="385" t="s">
        <v>1794</v>
      </c>
      <c r="C475" s="378">
        <v>91500.0</v>
      </c>
      <c r="D475" s="379">
        <f t="shared" si="16"/>
        <v>88755</v>
      </c>
      <c r="E475" s="58"/>
      <c r="F475" s="58"/>
    </row>
    <row r="476" ht="14.25" customHeight="1">
      <c r="A476" s="63">
        <v>2.412030001E9</v>
      </c>
      <c r="B476" s="386" t="s">
        <v>1796</v>
      </c>
      <c r="C476" s="56">
        <v>140000.0</v>
      </c>
      <c r="D476" s="57">
        <f t="shared" si="16"/>
        <v>135800</v>
      </c>
      <c r="E476" s="58"/>
      <c r="F476" s="58"/>
    </row>
    <row r="477" ht="14.25" customHeight="1">
      <c r="A477" s="371" t="s">
        <v>1797</v>
      </c>
      <c r="B477" s="385" t="s">
        <v>1799</v>
      </c>
      <c r="C477" s="378">
        <v>185000.0</v>
      </c>
      <c r="D477" s="379">
        <f t="shared" si="16"/>
        <v>179450</v>
      </c>
      <c r="E477" s="58">
        <v>2.0</v>
      </c>
      <c r="F477" s="58"/>
    </row>
    <row r="478" ht="14.25" customHeight="1">
      <c r="A478" s="63" t="s">
        <v>1801</v>
      </c>
      <c r="B478" s="386" t="s">
        <v>1802</v>
      </c>
      <c r="C478" s="56">
        <v>205000.0</v>
      </c>
      <c r="D478" s="57">
        <f t="shared" si="16"/>
        <v>198850</v>
      </c>
      <c r="E478" s="58"/>
      <c r="F478" s="58"/>
    </row>
    <row r="479" ht="14.25" customHeight="1">
      <c r="A479" s="371" t="s">
        <v>1805</v>
      </c>
      <c r="B479" s="385" t="s">
        <v>1806</v>
      </c>
      <c r="C479" s="378">
        <v>170000.0</v>
      </c>
      <c r="D479" s="379">
        <f t="shared" si="16"/>
        <v>164900</v>
      </c>
      <c r="E479" s="58"/>
      <c r="F479" s="58"/>
    </row>
    <row r="480" ht="14.25" customHeight="1">
      <c r="A480" s="63" t="s">
        <v>1809</v>
      </c>
      <c r="B480" s="386" t="s">
        <v>1810</v>
      </c>
      <c r="C480" s="56">
        <v>54000.0</v>
      </c>
      <c r="D480" s="57">
        <f t="shared" si="16"/>
        <v>52380</v>
      </c>
      <c r="E480" s="58"/>
      <c r="F480" s="58"/>
    </row>
    <row r="481" ht="14.25" customHeight="1">
      <c r="A481" s="371" t="s">
        <v>1812</v>
      </c>
      <c r="B481" s="385" t="s">
        <v>1814</v>
      </c>
      <c r="C481" s="378">
        <v>103000.0</v>
      </c>
      <c r="D481" s="379">
        <f t="shared" si="16"/>
        <v>99910</v>
      </c>
      <c r="E481" s="58"/>
      <c r="F481" s="58"/>
    </row>
    <row r="482" ht="14.25" customHeight="1">
      <c r="A482" s="63" t="s">
        <v>1817</v>
      </c>
      <c r="B482" s="386" t="s">
        <v>1818</v>
      </c>
      <c r="C482" s="56">
        <v>85000.0</v>
      </c>
      <c r="D482" s="57">
        <f t="shared" si="16"/>
        <v>82450</v>
      </c>
      <c r="E482" s="58">
        <v>1.0</v>
      </c>
      <c r="F482" s="58"/>
    </row>
    <row r="483" ht="14.25" customHeight="1">
      <c r="A483" s="371" t="s">
        <v>1820</v>
      </c>
      <c r="B483" s="381" t="s">
        <v>1822</v>
      </c>
      <c r="C483" s="378">
        <v>225000.0</v>
      </c>
      <c r="D483" s="379">
        <f t="shared" si="16"/>
        <v>218250</v>
      </c>
      <c r="E483" s="58"/>
      <c r="F483" s="58"/>
    </row>
    <row r="484" ht="14.25" customHeight="1">
      <c r="A484" s="63" t="s">
        <v>1824</v>
      </c>
      <c r="B484" s="55" t="s">
        <v>1825</v>
      </c>
      <c r="C484" s="56">
        <v>215000.0</v>
      </c>
      <c r="D484" s="57">
        <f t="shared" si="16"/>
        <v>208550</v>
      </c>
      <c r="E484" s="58"/>
      <c r="F484" s="58"/>
    </row>
    <row r="485" ht="14.25" customHeight="1">
      <c r="A485" s="371" t="s">
        <v>1827</v>
      </c>
      <c r="B485" s="381" t="s">
        <v>1828</v>
      </c>
      <c r="C485" s="378">
        <v>225000.0</v>
      </c>
      <c r="D485" s="379">
        <f t="shared" si="16"/>
        <v>218250</v>
      </c>
      <c r="E485" s="58"/>
      <c r="F485" s="58"/>
      <c r="G485" s="34"/>
    </row>
    <row r="486" ht="14.25" customHeight="1">
      <c r="A486" s="63" t="s">
        <v>1830</v>
      </c>
      <c r="B486" s="167" t="s">
        <v>1831</v>
      </c>
      <c r="C486" s="56">
        <v>305000.0</v>
      </c>
      <c r="D486" s="57">
        <f t="shared" si="16"/>
        <v>295850</v>
      </c>
      <c r="E486" s="58"/>
      <c r="F486" s="58"/>
      <c r="G486" s="34"/>
    </row>
    <row r="487" ht="14.25" customHeight="1">
      <c r="A487" s="371" t="s">
        <v>1834</v>
      </c>
      <c r="B487" s="402" t="s">
        <v>1835</v>
      </c>
      <c r="C487" s="378">
        <v>95000.0</v>
      </c>
      <c r="D487" s="379">
        <f t="shared" si="16"/>
        <v>92150</v>
      </c>
      <c r="E487" s="58"/>
      <c r="F487" s="58"/>
      <c r="G487" s="34"/>
    </row>
    <row r="488" ht="14.25" customHeight="1">
      <c r="A488" s="63" t="s">
        <v>1838</v>
      </c>
      <c r="B488" s="55" t="s">
        <v>1840</v>
      </c>
      <c r="C488" s="56">
        <v>170000.0</v>
      </c>
      <c r="D488" s="57">
        <f t="shared" si="16"/>
        <v>164900</v>
      </c>
      <c r="E488" s="58"/>
      <c r="F488" s="58"/>
      <c r="G488" s="34" t="s">
        <v>42</v>
      </c>
    </row>
    <row r="489" ht="14.25" customHeight="1">
      <c r="A489" s="371" t="s">
        <v>1843</v>
      </c>
      <c r="B489" s="381" t="s">
        <v>1844</v>
      </c>
      <c r="C489" s="378">
        <v>190000.0</v>
      </c>
      <c r="D489" s="379">
        <f t="shared" si="16"/>
        <v>184300</v>
      </c>
      <c r="E489" s="58"/>
      <c r="F489" s="58"/>
      <c r="G489" s="34" t="s">
        <v>42</v>
      </c>
    </row>
    <row r="490" ht="14.25" customHeight="1">
      <c r="A490" s="63" t="s">
        <v>1846</v>
      </c>
      <c r="B490" s="55" t="s">
        <v>1847</v>
      </c>
      <c r="C490" s="56">
        <v>210000.0</v>
      </c>
      <c r="D490" s="57">
        <f t="shared" si="16"/>
        <v>203700</v>
      </c>
      <c r="E490" s="58"/>
      <c r="F490" s="58"/>
      <c r="G490" s="34"/>
    </row>
    <row r="491" ht="14.25" customHeight="1">
      <c r="A491" s="371" t="s">
        <v>1849</v>
      </c>
      <c r="B491" s="381" t="s">
        <v>1850</v>
      </c>
      <c r="C491" s="378">
        <v>210000.0</v>
      </c>
      <c r="D491" s="379">
        <f t="shared" si="16"/>
        <v>203700</v>
      </c>
      <c r="E491" s="58">
        <v>1.0</v>
      </c>
      <c r="F491" s="58"/>
      <c r="G491" s="34" t="s">
        <v>42</v>
      </c>
    </row>
    <row r="492" ht="14.25" customHeight="1">
      <c r="A492" s="63" t="s">
        <v>1853</v>
      </c>
      <c r="B492" s="55" t="s">
        <v>1854</v>
      </c>
      <c r="C492" s="56">
        <v>225000.0</v>
      </c>
      <c r="D492" s="57">
        <f t="shared" si="16"/>
        <v>218250</v>
      </c>
      <c r="E492" s="58">
        <v>1.0</v>
      </c>
      <c r="F492" s="58"/>
      <c r="G492" s="34" t="s">
        <v>42</v>
      </c>
    </row>
    <row r="493" ht="14.25" customHeight="1">
      <c r="A493" s="371" t="s">
        <v>1856</v>
      </c>
      <c r="B493" s="381" t="s">
        <v>1858</v>
      </c>
      <c r="C493" s="378">
        <v>250000.0</v>
      </c>
      <c r="D493" s="379">
        <f t="shared" si="16"/>
        <v>242500</v>
      </c>
      <c r="E493" s="58"/>
      <c r="F493" s="58"/>
      <c r="G493" s="34"/>
    </row>
    <row r="494" ht="14.25" customHeight="1">
      <c r="A494" s="63" t="s">
        <v>1860</v>
      </c>
      <c r="B494" s="55" t="s">
        <v>1861</v>
      </c>
      <c r="C494" s="56">
        <v>255000.0</v>
      </c>
      <c r="D494" s="57">
        <f t="shared" si="16"/>
        <v>247350</v>
      </c>
    </row>
    <row r="495" ht="48.0" customHeight="1">
      <c r="A495" s="404"/>
      <c r="B495" s="406" t="s">
        <v>842</v>
      </c>
      <c r="C495" s="278"/>
      <c r="D495" s="279"/>
      <c r="E495" s="58">
        <v>1.0</v>
      </c>
      <c r="F495" s="58"/>
    </row>
    <row r="496" ht="14.25" customHeight="1">
      <c r="A496" s="63" t="s">
        <v>1866</v>
      </c>
      <c r="B496" s="55" t="s">
        <v>1867</v>
      </c>
      <c r="C496" s="56">
        <v>39000.0</v>
      </c>
      <c r="D496" s="57">
        <f t="shared" ref="D496:D528" si="17">C496*0.97</f>
        <v>37830</v>
      </c>
      <c r="E496" s="58"/>
      <c r="F496" s="58"/>
    </row>
    <row r="497" ht="14.25" customHeight="1">
      <c r="A497" s="408"/>
      <c r="B497" s="409" t="s">
        <v>1871</v>
      </c>
      <c r="C497" s="410">
        <v>41000.0</v>
      </c>
      <c r="D497" s="411">
        <f t="shared" si="17"/>
        <v>39770</v>
      </c>
      <c r="E497" s="58"/>
      <c r="F497" s="58"/>
    </row>
    <row r="498" ht="14.25" customHeight="1">
      <c r="A498" s="63" t="s">
        <v>1875</v>
      </c>
      <c r="B498" s="55" t="s">
        <v>1876</v>
      </c>
      <c r="C498" s="56">
        <v>51000.0</v>
      </c>
      <c r="D498" s="57">
        <f t="shared" si="17"/>
        <v>49470</v>
      </c>
      <c r="E498" s="58"/>
      <c r="F498" s="58"/>
    </row>
    <row r="499" ht="14.25" customHeight="1">
      <c r="A499" s="408">
        <v>30009.0</v>
      </c>
      <c r="B499" s="409" t="s">
        <v>1879</v>
      </c>
      <c r="C499" s="410">
        <v>35900.0</v>
      </c>
      <c r="D499" s="411">
        <f t="shared" si="17"/>
        <v>34823</v>
      </c>
      <c r="E499" s="58"/>
      <c r="F499" s="58"/>
    </row>
    <row r="500" ht="14.25" customHeight="1">
      <c r="A500" s="63" t="s">
        <v>1882</v>
      </c>
      <c r="B500" s="55" t="s">
        <v>1883</v>
      </c>
      <c r="C500" s="56">
        <v>33000.0</v>
      </c>
      <c r="D500" s="57">
        <f t="shared" si="17"/>
        <v>32010</v>
      </c>
      <c r="E500" s="58"/>
      <c r="F500" s="58"/>
      <c r="G500" s="34"/>
    </row>
    <row r="501" ht="14.25" customHeight="1">
      <c r="A501" s="408" t="s">
        <v>1886</v>
      </c>
      <c r="B501" s="409" t="s">
        <v>1887</v>
      </c>
      <c r="C501" s="410">
        <v>57000.0</v>
      </c>
      <c r="D501" s="412">
        <f t="shared" si="17"/>
        <v>55290</v>
      </c>
      <c r="E501" s="58"/>
      <c r="F501" s="58"/>
      <c r="G501" s="34" t="s">
        <v>42</v>
      </c>
    </row>
    <row r="502" ht="14.25" customHeight="1">
      <c r="A502" s="63">
        <v>30011.0</v>
      </c>
      <c r="B502" s="55" t="s">
        <v>1890</v>
      </c>
      <c r="C502" s="56">
        <v>25000.0</v>
      </c>
      <c r="D502" s="57">
        <f t="shared" si="17"/>
        <v>24250</v>
      </c>
      <c r="E502" s="58"/>
      <c r="F502" s="58"/>
    </row>
    <row r="503" ht="14.25" customHeight="1">
      <c r="A503" s="408">
        <v>2.406070018E9</v>
      </c>
      <c r="B503" s="409" t="s">
        <v>1891</v>
      </c>
      <c r="C503" s="410">
        <v>29000.0</v>
      </c>
      <c r="D503" s="411">
        <f t="shared" si="17"/>
        <v>28130</v>
      </c>
      <c r="E503" s="58"/>
      <c r="F503" s="58"/>
      <c r="G503" s="34"/>
    </row>
    <row r="504" ht="14.25" customHeight="1">
      <c r="A504" s="63" t="s">
        <v>1893</v>
      </c>
      <c r="B504" s="55" t="s">
        <v>1894</v>
      </c>
      <c r="C504" s="56">
        <v>25000.0</v>
      </c>
      <c r="D504" s="57">
        <f t="shared" si="17"/>
        <v>24250</v>
      </c>
      <c r="E504" s="58"/>
      <c r="F504" s="58"/>
      <c r="G504" s="34" t="s">
        <v>42</v>
      </c>
    </row>
    <row r="505" ht="14.25" customHeight="1">
      <c r="A505" s="408" t="s">
        <v>1896</v>
      </c>
      <c r="B505" s="409" t="s">
        <v>1897</v>
      </c>
      <c r="C505" s="410">
        <v>25000.0</v>
      </c>
      <c r="D505" s="411">
        <f t="shared" si="17"/>
        <v>24250</v>
      </c>
      <c r="E505" s="58"/>
      <c r="F505" s="58"/>
      <c r="G505" s="34" t="s">
        <v>42</v>
      </c>
    </row>
    <row r="506" ht="14.25" customHeight="1">
      <c r="A506" s="63" t="s">
        <v>1900</v>
      </c>
      <c r="B506" s="55" t="s">
        <v>1901</v>
      </c>
      <c r="C506" s="56">
        <v>27000.0</v>
      </c>
      <c r="D506" s="57">
        <f t="shared" si="17"/>
        <v>26190</v>
      </c>
      <c r="E506" s="58"/>
      <c r="F506" s="58"/>
      <c r="G506" s="34"/>
    </row>
    <row r="507" ht="14.25" customHeight="1">
      <c r="A507" s="408" t="s">
        <v>1902</v>
      </c>
      <c r="B507" s="409" t="s">
        <v>1903</v>
      </c>
      <c r="C507" s="410">
        <v>39000.0</v>
      </c>
      <c r="D507" s="411">
        <f t="shared" si="17"/>
        <v>37830</v>
      </c>
      <c r="E507" s="58"/>
      <c r="F507" s="58"/>
      <c r="G507" s="34" t="s">
        <v>42</v>
      </c>
    </row>
    <row r="508" ht="14.25" customHeight="1">
      <c r="A508" s="63">
        <v>2.511170002E9</v>
      </c>
      <c r="B508" s="55" t="s">
        <v>1905</v>
      </c>
      <c r="C508" s="56">
        <v>43000.0</v>
      </c>
      <c r="D508" s="57">
        <f t="shared" si="17"/>
        <v>41710</v>
      </c>
      <c r="E508" s="58"/>
      <c r="F508" s="58"/>
    </row>
    <row r="509" ht="14.25" customHeight="1">
      <c r="A509" s="408">
        <v>30005.0</v>
      </c>
      <c r="B509" s="424" t="s">
        <v>1907</v>
      </c>
      <c r="C509" s="410">
        <v>22500.0</v>
      </c>
      <c r="D509" s="411">
        <f t="shared" si="17"/>
        <v>21825</v>
      </c>
      <c r="E509" s="58"/>
      <c r="F509" s="58"/>
    </row>
    <row r="510" ht="14.25" customHeight="1">
      <c r="A510" s="63">
        <v>2.40131043E9</v>
      </c>
      <c r="B510" s="55" t="s">
        <v>1910</v>
      </c>
      <c r="C510" s="56">
        <v>26000.0</v>
      </c>
      <c r="D510" s="57">
        <f t="shared" si="17"/>
        <v>25220</v>
      </c>
      <c r="E510" s="58"/>
      <c r="F510" s="58"/>
    </row>
    <row r="511" ht="14.25" customHeight="1">
      <c r="A511" s="408" t="s">
        <v>1912</v>
      </c>
      <c r="B511" s="409" t="s">
        <v>1913</v>
      </c>
      <c r="C511" s="410">
        <v>26000.0</v>
      </c>
      <c r="D511" s="411">
        <f t="shared" si="17"/>
        <v>25220</v>
      </c>
      <c r="E511" s="58"/>
      <c r="F511" s="58"/>
    </row>
    <row r="512" ht="14.25" customHeight="1">
      <c r="A512" s="63" t="s">
        <v>1916</v>
      </c>
      <c r="B512" s="55" t="s">
        <v>1917</v>
      </c>
      <c r="C512" s="56">
        <v>21000.0</v>
      </c>
      <c r="D512" s="57">
        <f t="shared" si="17"/>
        <v>20370</v>
      </c>
      <c r="E512" s="58"/>
      <c r="F512" s="58"/>
    </row>
    <row r="513" ht="14.25" customHeight="1">
      <c r="A513" s="408" t="s">
        <v>1920</v>
      </c>
      <c r="B513" s="409" t="s">
        <v>1921</v>
      </c>
      <c r="C513" s="410">
        <v>24000.0</v>
      </c>
      <c r="D513" s="411">
        <f t="shared" si="17"/>
        <v>23280</v>
      </c>
      <c r="E513" s="58">
        <v>0.0</v>
      </c>
      <c r="F513" s="58"/>
    </row>
    <row r="514" ht="14.25" customHeight="1">
      <c r="A514" s="63">
        <v>30001.0</v>
      </c>
      <c r="B514" s="55" t="s">
        <v>1924</v>
      </c>
      <c r="C514" s="56">
        <v>20500.0</v>
      </c>
      <c r="D514" s="57">
        <f t="shared" si="17"/>
        <v>19885</v>
      </c>
      <c r="E514" s="58"/>
      <c r="F514" s="58"/>
    </row>
    <row r="515" ht="14.25" customHeight="1">
      <c r="A515" s="408" t="s">
        <v>1926</v>
      </c>
      <c r="B515" s="409" t="s">
        <v>1927</v>
      </c>
      <c r="C515" s="410">
        <v>22500.0</v>
      </c>
      <c r="D515" s="411">
        <f t="shared" si="17"/>
        <v>21825</v>
      </c>
      <c r="E515" s="58">
        <v>9.0</v>
      </c>
      <c r="F515" s="58"/>
    </row>
    <row r="516" ht="14.25" customHeight="1">
      <c r="A516" s="63">
        <v>30000.0</v>
      </c>
      <c r="B516" s="55" t="s">
        <v>1929</v>
      </c>
      <c r="C516" s="56">
        <v>24500.0</v>
      </c>
      <c r="D516" s="57">
        <f t="shared" si="17"/>
        <v>23765</v>
      </c>
      <c r="E516" s="58">
        <v>0.0</v>
      </c>
      <c r="F516" s="58"/>
    </row>
    <row r="517" ht="14.25" customHeight="1">
      <c r="A517" s="408">
        <v>30004.0</v>
      </c>
      <c r="B517" s="409" t="s">
        <v>1931</v>
      </c>
      <c r="C517" s="410">
        <v>21000.0</v>
      </c>
      <c r="D517" s="411">
        <f t="shared" si="17"/>
        <v>20370</v>
      </c>
      <c r="E517" s="58"/>
      <c r="F517" s="58"/>
      <c r="G517" s="34"/>
    </row>
    <row r="518" ht="14.25" customHeight="1">
      <c r="A518" s="63" t="s">
        <v>1934</v>
      </c>
      <c r="B518" s="55" t="s">
        <v>1935</v>
      </c>
      <c r="C518" s="56">
        <v>25000.0</v>
      </c>
      <c r="D518" s="57">
        <f t="shared" si="17"/>
        <v>24250</v>
      </c>
      <c r="E518" s="58">
        <v>3.0</v>
      </c>
      <c r="F518" s="58"/>
      <c r="G518" s="34"/>
    </row>
    <row r="519" ht="14.25" customHeight="1">
      <c r="A519" s="408" t="s">
        <v>1938</v>
      </c>
      <c r="B519" s="409" t="s">
        <v>1939</v>
      </c>
      <c r="C519" s="410">
        <v>35000.0</v>
      </c>
      <c r="D519" s="411">
        <f t="shared" si="17"/>
        <v>33950</v>
      </c>
      <c r="E519" s="437"/>
      <c r="F519" s="437"/>
      <c r="G519" s="438"/>
    </row>
    <row r="520" ht="14.25" customHeight="1">
      <c r="A520" s="63" t="s">
        <v>1943</v>
      </c>
      <c r="B520" s="55" t="s">
        <v>1944</v>
      </c>
      <c r="C520" s="56">
        <v>25000.0</v>
      </c>
      <c r="D520" s="57">
        <f t="shared" si="17"/>
        <v>24250</v>
      </c>
      <c r="E520" s="437"/>
      <c r="F520" s="437"/>
      <c r="G520" s="438"/>
    </row>
    <row r="521" ht="14.25" customHeight="1">
      <c r="A521" s="408">
        <v>30002.0</v>
      </c>
      <c r="B521" s="424" t="s">
        <v>1947</v>
      </c>
      <c r="C521" s="410">
        <v>20900.0</v>
      </c>
      <c r="D521" s="411">
        <f t="shared" si="17"/>
        <v>20273</v>
      </c>
      <c r="E521" s="437"/>
      <c r="F521" s="437"/>
      <c r="G521" s="89"/>
    </row>
    <row r="522" ht="14.25" customHeight="1">
      <c r="A522" s="63"/>
      <c r="B522" s="55" t="s">
        <v>1950</v>
      </c>
      <c r="C522" s="56">
        <v>23000.0</v>
      </c>
      <c r="D522" s="57">
        <f t="shared" si="17"/>
        <v>22310</v>
      </c>
      <c r="E522" s="58"/>
      <c r="F522" s="58"/>
    </row>
    <row r="523" ht="14.25" customHeight="1">
      <c r="A523" s="408">
        <v>30008.0</v>
      </c>
      <c r="B523" s="409" t="s">
        <v>1007</v>
      </c>
      <c r="C523" s="410">
        <v>25000.0</v>
      </c>
      <c r="D523" s="411">
        <f t="shared" si="17"/>
        <v>24250</v>
      </c>
      <c r="E523" s="58">
        <v>5.0</v>
      </c>
      <c r="F523" s="58"/>
    </row>
    <row r="524" ht="14.25" customHeight="1">
      <c r="A524" s="63" t="s">
        <v>1953</v>
      </c>
      <c r="B524" s="55" t="s">
        <v>1954</v>
      </c>
      <c r="C524" s="56">
        <v>26000.0</v>
      </c>
      <c r="D524" s="57">
        <f t="shared" si="17"/>
        <v>25220</v>
      </c>
      <c r="E524" s="58"/>
      <c r="F524" s="58"/>
    </row>
    <row r="525" ht="14.25" customHeight="1">
      <c r="A525" s="408" t="s">
        <v>1956</v>
      </c>
      <c r="B525" s="409" t="s">
        <v>1957</v>
      </c>
      <c r="C525" s="410">
        <v>50000.0</v>
      </c>
      <c r="D525" s="411">
        <f t="shared" si="17"/>
        <v>48500</v>
      </c>
      <c r="E525" s="58"/>
      <c r="F525" s="58"/>
    </row>
    <row r="526" ht="14.25" customHeight="1">
      <c r="A526" s="63" t="s">
        <v>1959</v>
      </c>
      <c r="B526" s="67" t="s">
        <v>1960</v>
      </c>
      <c r="C526" s="56">
        <v>23900.0</v>
      </c>
      <c r="D526" s="57">
        <f t="shared" si="17"/>
        <v>23183</v>
      </c>
      <c r="E526" s="58">
        <v>5.0</v>
      </c>
      <c r="F526" s="58"/>
    </row>
    <row r="527" ht="14.25" customHeight="1">
      <c r="A527" s="408" t="s">
        <v>1962</v>
      </c>
      <c r="B527" s="409" t="s">
        <v>1964</v>
      </c>
      <c r="C527" s="410">
        <v>24900.0</v>
      </c>
      <c r="D527" s="411">
        <f t="shared" si="17"/>
        <v>24153</v>
      </c>
      <c r="E527" s="58"/>
      <c r="F527" s="58"/>
    </row>
    <row r="528" ht="14.25" customHeight="1">
      <c r="A528" s="63" t="s">
        <v>1965</v>
      </c>
      <c r="B528" s="67" t="s">
        <v>1966</v>
      </c>
      <c r="C528" s="56">
        <v>22900.0</v>
      </c>
      <c r="D528" s="57">
        <f t="shared" si="17"/>
        <v>22213</v>
      </c>
      <c r="E528" s="58">
        <v>0.0</v>
      </c>
      <c r="F528" s="58"/>
    </row>
    <row r="529" ht="43.5" customHeight="1">
      <c r="A529" s="448"/>
      <c r="B529" s="449" t="s">
        <v>1967</v>
      </c>
      <c r="C529" s="450"/>
      <c r="D529" s="451"/>
      <c r="E529" s="58">
        <v>4.0</v>
      </c>
      <c r="F529" s="58"/>
    </row>
    <row r="530" ht="14.25" customHeight="1">
      <c r="A530" s="63" t="s">
        <v>1968</v>
      </c>
      <c r="B530" s="67" t="s">
        <v>1969</v>
      </c>
      <c r="C530" s="56">
        <v>20000.0</v>
      </c>
      <c r="D530" s="57">
        <f t="shared" ref="D530:D533" si="18">C530*0.97</f>
        <v>19400</v>
      </c>
      <c r="E530" s="58"/>
      <c r="F530" s="58"/>
    </row>
    <row r="531" ht="14.25" customHeight="1">
      <c r="A531" s="452" t="s">
        <v>1970</v>
      </c>
      <c r="B531" s="453" t="s">
        <v>1971</v>
      </c>
      <c r="C531" s="454">
        <v>20000.0</v>
      </c>
      <c r="D531" s="455">
        <f t="shared" si="18"/>
        <v>19400</v>
      </c>
      <c r="E531" s="58"/>
      <c r="F531" s="58"/>
    </row>
    <row r="532" ht="14.25" customHeight="1">
      <c r="A532" s="63" t="s">
        <v>1959</v>
      </c>
      <c r="B532" s="67" t="s">
        <v>1972</v>
      </c>
      <c r="C532" s="90">
        <v>24900.0</v>
      </c>
      <c r="D532" s="57">
        <f t="shared" si="18"/>
        <v>24153</v>
      </c>
      <c r="E532" s="58">
        <v>0.0</v>
      </c>
      <c r="F532" s="58"/>
    </row>
    <row r="533" ht="14.25" customHeight="1">
      <c r="A533" s="452" t="s">
        <v>1973</v>
      </c>
      <c r="B533" s="453" t="s">
        <v>1974</v>
      </c>
      <c r="C533" s="456">
        <v>26800.0</v>
      </c>
      <c r="D533" s="455">
        <f t="shared" si="18"/>
        <v>25996</v>
      </c>
      <c r="E533" s="58"/>
      <c r="F533" s="58"/>
    </row>
    <row r="534" ht="48.75" customHeight="1">
      <c r="A534" s="457"/>
      <c r="B534" s="458" t="s">
        <v>559</v>
      </c>
      <c r="C534" s="156"/>
      <c r="D534" s="157"/>
      <c r="E534" s="58">
        <v>0.0</v>
      </c>
      <c r="F534" s="58"/>
    </row>
    <row r="535" ht="14.25" customHeight="1">
      <c r="A535" s="63">
        <v>39932.0</v>
      </c>
      <c r="B535" s="67" t="s">
        <v>1975</v>
      </c>
      <c r="C535" s="56">
        <v>17900.0</v>
      </c>
      <c r="D535" s="89">
        <f t="shared" ref="D535:D550" si="19">C535*0.97</f>
        <v>17363</v>
      </c>
      <c r="E535" s="58"/>
      <c r="F535" s="58"/>
      <c r="G535" s="34"/>
    </row>
    <row r="536" ht="14.25" customHeight="1">
      <c r="A536" s="459"/>
      <c r="B536" s="168" t="s">
        <v>1976</v>
      </c>
      <c r="C536" s="460">
        <v>19500.0</v>
      </c>
      <c r="D536" s="461">
        <f t="shared" si="19"/>
        <v>18915</v>
      </c>
      <c r="E536" s="58"/>
      <c r="F536" s="58"/>
    </row>
    <row r="537" ht="14.25" customHeight="1">
      <c r="A537" s="63">
        <v>39943.0</v>
      </c>
      <c r="B537" s="67" t="s">
        <v>1977</v>
      </c>
      <c r="C537" s="56">
        <v>18500.0</v>
      </c>
      <c r="D537" s="57">
        <f t="shared" si="19"/>
        <v>17945</v>
      </c>
      <c r="E537" s="58">
        <v>12.0</v>
      </c>
      <c r="F537" s="58"/>
    </row>
    <row r="538" ht="14.25" customHeight="1">
      <c r="A538" s="459" t="s">
        <v>1978</v>
      </c>
      <c r="B538" s="160" t="s">
        <v>1979</v>
      </c>
      <c r="C538" s="462">
        <v>23500.0</v>
      </c>
      <c r="D538" s="463">
        <f t="shared" si="19"/>
        <v>22795</v>
      </c>
      <c r="E538" s="58">
        <v>0.0</v>
      </c>
      <c r="F538" s="58"/>
    </row>
    <row r="539" ht="14.25" customHeight="1">
      <c r="A539" s="63">
        <v>39945.0</v>
      </c>
      <c r="B539" s="67" t="s">
        <v>1980</v>
      </c>
      <c r="C539" s="56">
        <v>19500.0</v>
      </c>
      <c r="D539" s="57">
        <f t="shared" si="19"/>
        <v>18915</v>
      </c>
      <c r="E539" s="58">
        <v>0.0</v>
      </c>
      <c r="F539" s="58"/>
    </row>
    <row r="540" ht="14.25" customHeight="1">
      <c r="A540" s="459" t="s">
        <v>1981</v>
      </c>
      <c r="B540" s="168" t="s">
        <v>1982</v>
      </c>
      <c r="C540" s="460">
        <v>22500.0</v>
      </c>
      <c r="D540" s="463">
        <f t="shared" si="19"/>
        <v>21825</v>
      </c>
      <c r="E540" s="58"/>
      <c r="F540" s="58"/>
    </row>
    <row r="541" ht="14.25" customHeight="1">
      <c r="A541" s="63">
        <v>39955.0</v>
      </c>
      <c r="B541" s="67" t="s">
        <v>1983</v>
      </c>
      <c r="C541" s="56">
        <v>19500.0</v>
      </c>
      <c r="D541" s="57">
        <f t="shared" si="19"/>
        <v>18915</v>
      </c>
      <c r="E541" s="58">
        <v>2.0</v>
      </c>
      <c r="F541" s="58"/>
    </row>
    <row r="542" ht="14.25" customHeight="1">
      <c r="A542" s="459" t="s">
        <v>1984</v>
      </c>
      <c r="B542" s="168" t="s">
        <v>1985</v>
      </c>
      <c r="C542" s="460">
        <v>20500.0</v>
      </c>
      <c r="D542" s="463">
        <f t="shared" si="19"/>
        <v>19885</v>
      </c>
      <c r="E542" s="58"/>
      <c r="F542" s="58"/>
    </row>
    <row r="543" ht="14.25" customHeight="1">
      <c r="A543" s="63" t="s">
        <v>1986</v>
      </c>
      <c r="B543" s="55" t="s">
        <v>1987</v>
      </c>
      <c r="C543" s="56">
        <v>28000.0</v>
      </c>
      <c r="D543" s="57">
        <f t="shared" si="19"/>
        <v>27160</v>
      </c>
      <c r="E543" s="58"/>
      <c r="F543" s="58"/>
    </row>
    <row r="544" ht="14.25" customHeight="1">
      <c r="A544" s="459">
        <v>39956.0</v>
      </c>
      <c r="B544" s="160" t="s">
        <v>1988</v>
      </c>
      <c r="C544" s="460">
        <v>19500.0</v>
      </c>
      <c r="D544" s="463">
        <f t="shared" si="19"/>
        <v>18915</v>
      </c>
      <c r="E544" s="58">
        <v>0.0</v>
      </c>
      <c r="F544" s="58"/>
    </row>
    <row r="545" ht="14.25" customHeight="1">
      <c r="A545" s="63" t="s">
        <v>1989</v>
      </c>
      <c r="B545" s="55" t="s">
        <v>1990</v>
      </c>
      <c r="C545" s="56">
        <v>31000.0</v>
      </c>
      <c r="D545" s="57">
        <f t="shared" si="19"/>
        <v>30070</v>
      </c>
      <c r="E545" s="58"/>
      <c r="F545" s="58"/>
    </row>
    <row r="546" ht="14.25" customHeight="1">
      <c r="A546" s="459" t="s">
        <v>1991</v>
      </c>
      <c r="B546" s="160" t="s">
        <v>1992</v>
      </c>
      <c r="C546" s="460">
        <v>47000.0</v>
      </c>
      <c r="D546" s="463">
        <f t="shared" si="19"/>
        <v>45590</v>
      </c>
      <c r="E546" s="58">
        <v>0.0</v>
      </c>
      <c r="F546" s="58"/>
    </row>
    <row r="547" ht="14.25" customHeight="1">
      <c r="A547" s="63" t="s">
        <v>1993</v>
      </c>
      <c r="B547" s="55" t="s">
        <v>1994</v>
      </c>
      <c r="C547" s="56">
        <v>44800.0</v>
      </c>
      <c r="D547" s="57">
        <f t="shared" si="19"/>
        <v>43456</v>
      </c>
      <c r="E547" s="58"/>
      <c r="F547" s="58"/>
    </row>
    <row r="548" ht="14.25" customHeight="1">
      <c r="A548" s="459">
        <v>39964.0</v>
      </c>
      <c r="B548" s="160" t="s">
        <v>1995</v>
      </c>
      <c r="C548" s="460">
        <v>24000.0</v>
      </c>
      <c r="D548" s="463">
        <f t="shared" si="19"/>
        <v>23280</v>
      </c>
      <c r="E548" s="58">
        <v>0.0</v>
      </c>
      <c r="F548" s="58"/>
    </row>
    <row r="549" ht="14.25" customHeight="1">
      <c r="A549" s="63"/>
      <c r="B549" s="55" t="s">
        <v>1996</v>
      </c>
      <c r="C549" s="56">
        <v>26000.0</v>
      </c>
      <c r="D549" s="57">
        <f t="shared" si="19"/>
        <v>25220</v>
      </c>
      <c r="E549" s="58"/>
      <c r="F549" s="58"/>
    </row>
    <row r="550" ht="14.25" customHeight="1">
      <c r="A550" s="459" t="s">
        <v>1997</v>
      </c>
      <c r="B550" s="168" t="s">
        <v>1998</v>
      </c>
      <c r="C550" s="460">
        <v>65000.0</v>
      </c>
      <c r="D550" s="463">
        <f t="shared" si="19"/>
        <v>63050</v>
      </c>
      <c r="E550" s="58">
        <v>1.0</v>
      </c>
      <c r="F550" s="58"/>
    </row>
    <row r="551" ht="14.25" hidden="1" customHeight="1">
      <c r="A551" s="63"/>
      <c r="B551" s="55" t="s">
        <v>1998</v>
      </c>
      <c r="C551" s="56"/>
      <c r="D551" s="57"/>
      <c r="E551" s="58"/>
      <c r="F551" s="58"/>
    </row>
    <row r="552" ht="14.25" customHeight="1">
      <c r="A552" s="459" t="s">
        <v>1999</v>
      </c>
      <c r="B552" s="168" t="s">
        <v>2000</v>
      </c>
      <c r="C552" s="460">
        <v>35000.0</v>
      </c>
      <c r="D552" s="463">
        <f t="shared" ref="D552:D579" si="20">C552*0.97</f>
        <v>33950</v>
      </c>
      <c r="E552" s="58"/>
      <c r="F552" s="58"/>
    </row>
    <row r="553" ht="14.25" customHeight="1">
      <c r="A553" s="63"/>
      <c r="B553" s="55" t="s">
        <v>2001</v>
      </c>
      <c r="C553" s="56">
        <v>72000.0</v>
      </c>
      <c r="D553" s="57">
        <f t="shared" si="20"/>
        <v>69840</v>
      </c>
      <c r="E553" s="58"/>
      <c r="F553" s="58"/>
    </row>
    <row r="554" ht="14.25" customHeight="1">
      <c r="A554" s="459" t="s">
        <v>2002</v>
      </c>
      <c r="B554" s="160" t="s">
        <v>2003</v>
      </c>
      <c r="C554" s="460">
        <v>26000.0</v>
      </c>
      <c r="D554" s="463">
        <f t="shared" si="20"/>
        <v>25220</v>
      </c>
      <c r="E554" s="58">
        <v>1.0</v>
      </c>
      <c r="F554" s="58"/>
    </row>
    <row r="555" ht="14.25" customHeight="1">
      <c r="A555" s="63" t="s">
        <v>2004</v>
      </c>
      <c r="B555" s="67" t="s">
        <v>2005</v>
      </c>
      <c r="C555" s="56">
        <v>55500.0</v>
      </c>
      <c r="D555" s="57">
        <f t="shared" si="20"/>
        <v>53835</v>
      </c>
      <c r="E555" s="58">
        <v>0.0</v>
      </c>
      <c r="F555" s="58"/>
    </row>
    <row r="556" ht="14.25" customHeight="1">
      <c r="A556" s="459">
        <v>39961.0</v>
      </c>
      <c r="B556" s="160" t="s">
        <v>2006</v>
      </c>
      <c r="C556" s="460">
        <v>57000.0</v>
      </c>
      <c r="D556" s="463">
        <f t="shared" si="20"/>
        <v>55290</v>
      </c>
      <c r="E556" s="58">
        <v>5.0</v>
      </c>
      <c r="F556" s="58"/>
    </row>
    <row r="557" ht="14.25" customHeight="1">
      <c r="A557" s="63" t="s">
        <v>2007</v>
      </c>
      <c r="B557" s="55" t="s">
        <v>2008</v>
      </c>
      <c r="C557" s="56">
        <v>69500.0</v>
      </c>
      <c r="D557" s="57">
        <f t="shared" si="20"/>
        <v>67415</v>
      </c>
      <c r="E557" s="58"/>
      <c r="F557" s="58"/>
    </row>
    <row r="558" ht="14.25" customHeight="1">
      <c r="A558" s="459" t="s">
        <v>2009</v>
      </c>
      <c r="B558" s="168" t="s">
        <v>2010</v>
      </c>
      <c r="C558" s="460">
        <v>63000.0</v>
      </c>
      <c r="D558" s="463">
        <f t="shared" si="20"/>
        <v>61110</v>
      </c>
      <c r="E558" s="58"/>
      <c r="F558" s="58"/>
    </row>
    <row r="559" ht="14.25" customHeight="1">
      <c r="A559" s="63" t="s">
        <v>2011</v>
      </c>
      <c r="B559" s="55" t="s">
        <v>2012</v>
      </c>
      <c r="C559" s="56">
        <v>25000.0</v>
      </c>
      <c r="D559" s="57">
        <f t="shared" si="20"/>
        <v>24250</v>
      </c>
      <c r="E559" s="58"/>
      <c r="F559" s="58"/>
    </row>
    <row r="560" ht="14.25" customHeight="1">
      <c r="A560" s="459" t="s">
        <v>2013</v>
      </c>
      <c r="B560" s="168" t="s">
        <v>2014</v>
      </c>
      <c r="C560" s="460">
        <v>64000.0</v>
      </c>
      <c r="D560" s="463">
        <f t="shared" si="20"/>
        <v>62080</v>
      </c>
      <c r="E560" s="58"/>
      <c r="F560" s="58"/>
    </row>
    <row r="561" ht="14.25" customHeight="1">
      <c r="A561" s="63" t="s">
        <v>2015</v>
      </c>
      <c r="B561" s="55" t="s">
        <v>2016</v>
      </c>
      <c r="C561" s="56">
        <v>65000.0</v>
      </c>
      <c r="D561" s="57">
        <f t="shared" si="20"/>
        <v>63050</v>
      </c>
      <c r="E561" s="58"/>
      <c r="F561" s="58"/>
    </row>
    <row r="562" ht="14.25" customHeight="1">
      <c r="A562" s="459">
        <v>2.404010045E9</v>
      </c>
      <c r="B562" s="168" t="s">
        <v>2017</v>
      </c>
      <c r="C562" s="460">
        <v>78000.0</v>
      </c>
      <c r="D562" s="463">
        <f t="shared" si="20"/>
        <v>75660</v>
      </c>
      <c r="E562" s="58"/>
      <c r="F562" s="58"/>
    </row>
    <row r="563" ht="14.25" customHeight="1">
      <c r="A563" s="63"/>
      <c r="B563" s="55" t="s">
        <v>2018</v>
      </c>
      <c r="C563" s="56">
        <v>85000.0</v>
      </c>
      <c r="D563" s="57">
        <f t="shared" si="20"/>
        <v>82450</v>
      </c>
      <c r="E563" s="58"/>
      <c r="F563" s="58"/>
      <c r="G563" s="34"/>
      <c r="I563" s="464"/>
    </row>
    <row r="564" ht="14.25" customHeight="1">
      <c r="A564" s="459" t="s">
        <v>2019</v>
      </c>
      <c r="B564" s="168" t="s">
        <v>2020</v>
      </c>
      <c r="C564" s="460">
        <v>65000.0</v>
      </c>
      <c r="D564" s="463">
        <f t="shared" si="20"/>
        <v>63050</v>
      </c>
      <c r="E564" s="58"/>
      <c r="F564" s="58"/>
      <c r="G564" s="34"/>
      <c r="I564" s="464"/>
    </row>
    <row r="565" ht="14.25" customHeight="1">
      <c r="A565" s="63" t="s">
        <v>2021</v>
      </c>
      <c r="B565" s="55" t="s">
        <v>2022</v>
      </c>
      <c r="C565" s="56">
        <v>145000.0</v>
      </c>
      <c r="D565" s="57">
        <f t="shared" si="20"/>
        <v>140650</v>
      </c>
      <c r="E565" s="58"/>
      <c r="F565" s="58"/>
      <c r="G565" s="34"/>
    </row>
    <row r="566" ht="14.25" customHeight="1">
      <c r="A566" s="459" t="s">
        <v>2023</v>
      </c>
      <c r="B566" s="168" t="s">
        <v>2024</v>
      </c>
      <c r="C566" s="460">
        <v>25000.0</v>
      </c>
      <c r="D566" s="461">
        <f t="shared" si="20"/>
        <v>24250</v>
      </c>
      <c r="E566" s="58"/>
      <c r="F566" s="58"/>
      <c r="G566" s="34"/>
    </row>
    <row r="567" ht="14.25" customHeight="1">
      <c r="A567" s="63" t="s">
        <v>2025</v>
      </c>
      <c r="B567" s="55" t="s">
        <v>2026</v>
      </c>
      <c r="C567" s="56">
        <v>25000.0</v>
      </c>
      <c r="D567" s="89">
        <f t="shared" si="20"/>
        <v>24250</v>
      </c>
      <c r="E567" s="58"/>
      <c r="F567" s="58"/>
      <c r="G567" s="34"/>
    </row>
    <row r="568" ht="14.25" customHeight="1">
      <c r="A568" s="459" t="s">
        <v>2027</v>
      </c>
      <c r="B568" s="168" t="s">
        <v>2028</v>
      </c>
      <c r="C568" s="460">
        <v>80000.0</v>
      </c>
      <c r="D568" s="461">
        <f t="shared" si="20"/>
        <v>77600</v>
      </c>
      <c r="E568" s="58"/>
      <c r="F568" s="58"/>
      <c r="G568" s="34"/>
    </row>
    <row r="569" ht="14.25" customHeight="1">
      <c r="A569" s="63" t="s">
        <v>2029</v>
      </c>
      <c r="B569" s="55" t="s">
        <v>2030</v>
      </c>
      <c r="C569" s="56">
        <v>85000.0</v>
      </c>
      <c r="D569" s="89">
        <f t="shared" si="20"/>
        <v>82450</v>
      </c>
      <c r="E569" s="58"/>
      <c r="F569" s="58"/>
      <c r="G569" s="34"/>
    </row>
    <row r="570" ht="14.25" customHeight="1">
      <c r="A570" s="459" t="s">
        <v>2031</v>
      </c>
      <c r="B570" s="168" t="s">
        <v>2032</v>
      </c>
      <c r="C570" s="460">
        <v>80000.0</v>
      </c>
      <c r="D570" s="461">
        <f t="shared" si="20"/>
        <v>77600</v>
      </c>
      <c r="E570" s="58"/>
      <c r="F570" s="58"/>
      <c r="G570" s="34" t="s">
        <v>42</v>
      </c>
    </row>
    <row r="571" ht="14.25" customHeight="1">
      <c r="A571" s="63"/>
      <c r="B571" s="55" t="s">
        <v>2033</v>
      </c>
      <c r="C571" s="56">
        <v>25000.0</v>
      </c>
      <c r="D571" s="89">
        <f t="shared" si="20"/>
        <v>24250</v>
      </c>
      <c r="E571" s="58"/>
      <c r="F571" s="58"/>
      <c r="G571" s="34"/>
    </row>
    <row r="572" ht="14.25" customHeight="1">
      <c r="A572" s="459" t="s">
        <v>2034</v>
      </c>
      <c r="B572" s="168" t="s">
        <v>2035</v>
      </c>
      <c r="C572" s="460">
        <v>85000.0</v>
      </c>
      <c r="D572" s="461">
        <f t="shared" si="20"/>
        <v>82450</v>
      </c>
      <c r="E572" s="58"/>
      <c r="F572" s="58"/>
      <c r="G572" s="34"/>
    </row>
    <row r="573" ht="14.25" customHeight="1">
      <c r="A573" s="63"/>
      <c r="B573" s="55" t="s">
        <v>2036</v>
      </c>
      <c r="C573" s="56">
        <v>92000.0</v>
      </c>
      <c r="D573" s="89">
        <f t="shared" si="20"/>
        <v>89240</v>
      </c>
      <c r="E573" s="58"/>
      <c r="F573" s="58"/>
      <c r="G573" s="34"/>
    </row>
    <row r="574" ht="14.25" customHeight="1">
      <c r="A574" s="459" t="s">
        <v>2037</v>
      </c>
      <c r="B574" s="168" t="s">
        <v>2038</v>
      </c>
      <c r="C574" s="460">
        <v>65000.0</v>
      </c>
      <c r="D574" s="461">
        <f t="shared" si="20"/>
        <v>63050</v>
      </c>
      <c r="E574" s="58"/>
      <c r="F574" s="58"/>
      <c r="G574" s="34"/>
    </row>
    <row r="575" ht="14.25" customHeight="1">
      <c r="A575" s="63" t="s">
        <v>2039</v>
      </c>
      <c r="B575" s="55" t="s">
        <v>2040</v>
      </c>
      <c r="C575" s="56">
        <v>78000.0</v>
      </c>
      <c r="D575" s="89">
        <f t="shared" si="20"/>
        <v>75660</v>
      </c>
      <c r="E575" s="58"/>
      <c r="F575" s="58"/>
      <c r="G575" s="34" t="s">
        <v>42</v>
      </c>
    </row>
    <row r="576" ht="14.25" customHeight="1">
      <c r="A576" s="459" t="s">
        <v>2041</v>
      </c>
      <c r="B576" s="168" t="s">
        <v>2042</v>
      </c>
      <c r="C576" s="460">
        <v>85000.0</v>
      </c>
      <c r="D576" s="461">
        <f t="shared" si="20"/>
        <v>82450</v>
      </c>
      <c r="E576" s="58"/>
      <c r="F576" s="58"/>
      <c r="G576" s="34" t="s">
        <v>42</v>
      </c>
    </row>
    <row r="577" ht="14.25" customHeight="1">
      <c r="A577" s="63"/>
      <c r="B577" s="55" t="s">
        <v>2043</v>
      </c>
      <c r="C577" s="56">
        <v>95000.0</v>
      </c>
      <c r="D577" s="89">
        <f t="shared" si="20"/>
        <v>92150</v>
      </c>
      <c r="E577" s="58"/>
      <c r="F577" s="58"/>
      <c r="G577" s="34"/>
    </row>
    <row r="578" ht="14.25" customHeight="1">
      <c r="A578" s="459" t="s">
        <v>2044</v>
      </c>
      <c r="B578" s="168" t="s">
        <v>2045</v>
      </c>
      <c r="C578" s="460">
        <v>90000.0</v>
      </c>
      <c r="D578" s="461">
        <f t="shared" si="20"/>
        <v>87300</v>
      </c>
      <c r="E578" s="58"/>
      <c r="F578" s="58"/>
      <c r="G578" s="34" t="s">
        <v>42</v>
      </c>
    </row>
    <row r="579" ht="14.25" customHeight="1">
      <c r="A579" s="63" t="s">
        <v>2046</v>
      </c>
      <c r="B579" s="55" t="s">
        <v>2047</v>
      </c>
      <c r="C579" s="56">
        <v>88000.0</v>
      </c>
      <c r="D579" s="89">
        <f t="shared" si="20"/>
        <v>85360</v>
      </c>
      <c r="E579" s="58"/>
      <c r="F579" s="58"/>
      <c r="G579" s="34" t="s">
        <v>42</v>
      </c>
    </row>
    <row r="580" ht="14.25" customHeight="1">
      <c r="A580" s="459" t="s">
        <v>2048</v>
      </c>
      <c r="B580" s="465" t="s">
        <v>2049</v>
      </c>
      <c r="C580" s="460">
        <v>149000.0</v>
      </c>
      <c r="D580" s="461">
        <v>149000.0</v>
      </c>
      <c r="E580" s="58"/>
      <c r="F580" s="58"/>
      <c r="G580" s="34" t="s">
        <v>42</v>
      </c>
    </row>
    <row r="581" ht="14.25" customHeight="1">
      <c r="A581" s="63" t="s">
        <v>2050</v>
      </c>
      <c r="B581" s="55" t="s">
        <v>2051</v>
      </c>
      <c r="C581" s="56">
        <v>79000.0</v>
      </c>
      <c r="D581" s="57">
        <f t="shared" ref="D581:D603" si="21">C581*0.97</f>
        <v>76630</v>
      </c>
      <c r="E581" s="58"/>
      <c r="F581" s="58"/>
      <c r="G581" s="34" t="s">
        <v>42</v>
      </c>
    </row>
    <row r="582" ht="14.25" customHeight="1">
      <c r="A582" s="459">
        <v>39940.0</v>
      </c>
      <c r="B582" s="160" t="s">
        <v>2052</v>
      </c>
      <c r="C582" s="462">
        <v>19000.0</v>
      </c>
      <c r="D582" s="463">
        <f t="shared" si="21"/>
        <v>18430</v>
      </c>
      <c r="E582" s="58"/>
      <c r="F582" s="58"/>
    </row>
    <row r="583" ht="14.25" customHeight="1">
      <c r="A583" s="63">
        <v>39944.0</v>
      </c>
      <c r="B583" s="67" t="s">
        <v>2053</v>
      </c>
      <c r="C583" s="56">
        <v>19000.0</v>
      </c>
      <c r="D583" s="57">
        <f t="shared" si="21"/>
        <v>18430</v>
      </c>
      <c r="E583" s="58">
        <v>0.0</v>
      </c>
      <c r="F583" s="58"/>
    </row>
    <row r="584" ht="14.25" customHeight="1">
      <c r="A584" s="459" t="s">
        <v>2054</v>
      </c>
      <c r="B584" s="160" t="s">
        <v>2055</v>
      </c>
      <c r="C584" s="460">
        <v>19800.0</v>
      </c>
      <c r="D584" s="463">
        <f t="shared" si="21"/>
        <v>19206</v>
      </c>
      <c r="E584" s="58">
        <v>3.0</v>
      </c>
      <c r="F584" s="58"/>
    </row>
    <row r="585" ht="14.25" customHeight="1">
      <c r="A585" s="63">
        <v>39946.0</v>
      </c>
      <c r="B585" s="55" t="s">
        <v>2056</v>
      </c>
      <c r="C585" s="56">
        <v>56000.0</v>
      </c>
      <c r="D585" s="57">
        <f t="shared" si="21"/>
        <v>54320</v>
      </c>
      <c r="E585" s="58"/>
      <c r="F585" s="58"/>
    </row>
    <row r="586" ht="14.25" customHeight="1">
      <c r="A586" s="459">
        <v>39926.0</v>
      </c>
      <c r="B586" s="160" t="s">
        <v>2057</v>
      </c>
      <c r="C586" s="460">
        <v>19000.0</v>
      </c>
      <c r="D586" s="463">
        <f t="shared" si="21"/>
        <v>18430</v>
      </c>
      <c r="E586" s="58">
        <v>0.0</v>
      </c>
      <c r="F586" s="58"/>
    </row>
    <row r="587" ht="14.25" customHeight="1">
      <c r="A587" s="63" t="s">
        <v>2058</v>
      </c>
      <c r="B587" s="67" t="s">
        <v>2059</v>
      </c>
      <c r="C587" s="56">
        <v>68000.0</v>
      </c>
      <c r="D587" s="57">
        <f t="shared" si="21"/>
        <v>65960</v>
      </c>
      <c r="E587" s="58"/>
      <c r="F587" s="58"/>
    </row>
    <row r="588" ht="14.25" customHeight="1">
      <c r="A588" s="459" t="s">
        <v>2060</v>
      </c>
      <c r="B588" s="160" t="s">
        <v>2061</v>
      </c>
      <c r="C588" s="462">
        <v>25900.0</v>
      </c>
      <c r="D588" s="463">
        <f t="shared" si="21"/>
        <v>25123</v>
      </c>
      <c r="E588" s="58"/>
      <c r="F588" s="58"/>
    </row>
    <row r="589" ht="14.25" customHeight="1">
      <c r="A589" s="63" t="s">
        <v>2062</v>
      </c>
      <c r="B589" s="55" t="s">
        <v>2063</v>
      </c>
      <c r="C589" s="56">
        <v>69000.0</v>
      </c>
      <c r="D589" s="57">
        <f t="shared" si="21"/>
        <v>66930</v>
      </c>
      <c r="E589" s="58"/>
      <c r="F589" s="58"/>
    </row>
    <row r="590" ht="14.25" customHeight="1">
      <c r="A590" s="459" t="s">
        <v>2064</v>
      </c>
      <c r="B590" s="168" t="s">
        <v>2065</v>
      </c>
      <c r="C590" s="460">
        <v>35000.0</v>
      </c>
      <c r="D590" s="463">
        <f t="shared" si="21"/>
        <v>33950</v>
      </c>
      <c r="E590" s="58"/>
      <c r="F590" s="58"/>
    </row>
    <row r="591" ht="14.25" customHeight="1">
      <c r="A591" s="63" t="s">
        <v>2066</v>
      </c>
      <c r="B591" s="67" t="s">
        <v>2067</v>
      </c>
      <c r="C591" s="56">
        <v>19800.0</v>
      </c>
      <c r="D591" s="57">
        <f t="shared" si="21"/>
        <v>19206</v>
      </c>
      <c r="E591" s="58">
        <v>0.0</v>
      </c>
      <c r="F591" s="58"/>
    </row>
    <row r="592" ht="14.25" customHeight="1">
      <c r="A592" s="459" t="s">
        <v>2068</v>
      </c>
      <c r="B592" s="168" t="s">
        <v>2069</v>
      </c>
      <c r="C592" s="460">
        <v>20500.0</v>
      </c>
      <c r="D592" s="463">
        <f t="shared" si="21"/>
        <v>19885</v>
      </c>
      <c r="E592" s="58"/>
      <c r="F592" s="58"/>
    </row>
    <row r="593" ht="14.25" customHeight="1">
      <c r="A593" s="63">
        <v>39954.0</v>
      </c>
      <c r="B593" s="67" t="s">
        <v>2070</v>
      </c>
      <c r="C593" s="56">
        <v>18500.0</v>
      </c>
      <c r="D593" s="57">
        <f t="shared" si="21"/>
        <v>17945</v>
      </c>
      <c r="E593" s="58">
        <v>5.0</v>
      </c>
      <c r="F593" s="58"/>
    </row>
    <row r="594" ht="14.25" customHeight="1">
      <c r="A594" s="459">
        <v>82273.0</v>
      </c>
      <c r="B594" s="160" t="s">
        <v>2071</v>
      </c>
      <c r="C594" s="462">
        <v>20500.0</v>
      </c>
      <c r="D594" s="463">
        <f t="shared" si="21"/>
        <v>19885</v>
      </c>
      <c r="E594" s="58"/>
      <c r="F594" s="58"/>
    </row>
    <row r="595" ht="14.25" customHeight="1">
      <c r="A595" s="466">
        <v>2757430.0</v>
      </c>
      <c r="B595" s="55" t="s">
        <v>2072</v>
      </c>
      <c r="C595" s="56">
        <v>24000.0</v>
      </c>
      <c r="D595" s="57">
        <f t="shared" si="21"/>
        <v>23280</v>
      </c>
      <c r="E595" s="58"/>
      <c r="F595" s="58"/>
    </row>
    <row r="596" ht="14.25" customHeight="1">
      <c r="A596" s="459">
        <v>39967.0</v>
      </c>
      <c r="B596" s="168" t="s">
        <v>2073</v>
      </c>
      <c r="C596" s="460">
        <v>19500.0</v>
      </c>
      <c r="D596" s="463">
        <f t="shared" si="21"/>
        <v>18915</v>
      </c>
      <c r="E596" s="58">
        <v>4.0</v>
      </c>
      <c r="F596" s="58"/>
    </row>
    <row r="597" ht="14.25" customHeight="1">
      <c r="A597" s="63" t="s">
        <v>2074</v>
      </c>
      <c r="B597" s="55" t="s">
        <v>2075</v>
      </c>
      <c r="C597" s="56">
        <v>21500.0</v>
      </c>
      <c r="D597" s="57">
        <f t="shared" si="21"/>
        <v>20855</v>
      </c>
      <c r="E597" s="58"/>
      <c r="F597" s="58"/>
    </row>
    <row r="598" ht="14.25" hidden="1" customHeight="1">
      <c r="A598" s="459">
        <v>39967.0</v>
      </c>
      <c r="B598" s="168" t="s">
        <v>2076</v>
      </c>
      <c r="C598" s="462">
        <v>28900.0</v>
      </c>
      <c r="D598" s="463">
        <f t="shared" si="21"/>
        <v>28033</v>
      </c>
      <c r="E598" s="58">
        <v>2.0</v>
      </c>
      <c r="F598" s="58"/>
    </row>
    <row r="599" ht="14.25" hidden="1" customHeight="1">
      <c r="A599" s="63"/>
      <c r="B599" s="67" t="s">
        <v>2077</v>
      </c>
      <c r="C599" s="56">
        <v>19500.0</v>
      </c>
      <c r="D599" s="89">
        <f t="shared" si="21"/>
        <v>18915</v>
      </c>
      <c r="E599" s="58">
        <v>0.0</v>
      </c>
      <c r="F599" s="58"/>
    </row>
    <row r="600" ht="14.25" hidden="1" customHeight="1">
      <c r="A600" s="459"/>
      <c r="B600" s="168" t="s">
        <v>2078</v>
      </c>
      <c r="C600" s="460">
        <v>20500.0</v>
      </c>
      <c r="D600" s="461">
        <f t="shared" si="21"/>
        <v>19885</v>
      </c>
      <c r="E600" s="58"/>
      <c r="F600" s="58"/>
    </row>
    <row r="601" ht="14.25" customHeight="1">
      <c r="A601" s="63" t="s">
        <v>2079</v>
      </c>
      <c r="B601" s="55" t="s">
        <v>970</v>
      </c>
      <c r="C601" s="56">
        <v>19500.0</v>
      </c>
      <c r="D601" s="89">
        <f t="shared" si="21"/>
        <v>18915</v>
      </c>
      <c r="E601" s="58"/>
      <c r="F601" s="58"/>
    </row>
    <row r="602" ht="14.25" customHeight="1">
      <c r="A602" s="459" t="s">
        <v>2080</v>
      </c>
      <c r="B602" s="168" t="s">
        <v>2081</v>
      </c>
      <c r="C602" s="460">
        <v>25000.0</v>
      </c>
      <c r="D602" s="461">
        <f t="shared" si="21"/>
        <v>24250</v>
      </c>
      <c r="E602" s="58"/>
      <c r="F602" s="58"/>
    </row>
    <row r="603" ht="14.25" customHeight="1">
      <c r="A603" s="63" t="s">
        <v>2082</v>
      </c>
      <c r="B603" s="55" t="s">
        <v>2083</v>
      </c>
      <c r="C603" s="56">
        <v>21000.0</v>
      </c>
      <c r="D603" s="89">
        <f t="shared" si="21"/>
        <v>20370</v>
      </c>
      <c r="E603" s="58"/>
      <c r="F603" s="58"/>
    </row>
    <row r="604" ht="14.25" customHeight="1">
      <c r="A604" s="459" t="s">
        <v>2084</v>
      </c>
      <c r="B604" s="168" t="s">
        <v>2085</v>
      </c>
      <c r="C604" s="460">
        <v>29000.0</v>
      </c>
      <c r="D604" s="461">
        <v>27500.0</v>
      </c>
      <c r="E604" s="58"/>
      <c r="F604" s="58"/>
    </row>
    <row r="605" ht="14.25" customHeight="1">
      <c r="A605" s="63" t="s">
        <v>2086</v>
      </c>
      <c r="B605" s="55" t="s">
        <v>2087</v>
      </c>
      <c r="C605" s="56">
        <v>29500.0</v>
      </c>
      <c r="D605" s="57">
        <f t="shared" ref="D605:D608" si="22">C605*0.97</f>
        <v>28615</v>
      </c>
      <c r="E605" s="58"/>
      <c r="F605" s="58"/>
    </row>
    <row r="606" ht="14.25" customHeight="1">
      <c r="A606" s="459">
        <v>39979.0</v>
      </c>
      <c r="B606" s="168" t="s">
        <v>972</v>
      </c>
      <c r="C606" s="460">
        <v>22500.0</v>
      </c>
      <c r="D606" s="463">
        <f t="shared" si="22"/>
        <v>21825</v>
      </c>
      <c r="E606" s="58"/>
      <c r="F606" s="58"/>
    </row>
    <row r="607" ht="14.25" customHeight="1">
      <c r="A607" s="63" t="s">
        <v>2088</v>
      </c>
      <c r="B607" s="55" t="s">
        <v>2089</v>
      </c>
      <c r="C607" s="56">
        <v>25000.0</v>
      </c>
      <c r="D607" s="57">
        <f t="shared" si="22"/>
        <v>24250</v>
      </c>
      <c r="E607" s="58"/>
      <c r="F607" s="58"/>
    </row>
    <row r="608" ht="14.25" customHeight="1">
      <c r="A608" s="459" t="s">
        <v>2090</v>
      </c>
      <c r="B608" s="168" t="s">
        <v>2091</v>
      </c>
      <c r="C608" s="460">
        <v>29000.0</v>
      </c>
      <c r="D608" s="463">
        <f t="shared" si="22"/>
        <v>28130</v>
      </c>
      <c r="E608" s="58"/>
      <c r="F608" s="58"/>
    </row>
    <row r="609" ht="14.25" customHeight="1">
      <c r="A609" s="63" t="s">
        <v>2092</v>
      </c>
      <c r="B609" s="55" t="s">
        <v>2093</v>
      </c>
      <c r="C609" s="56">
        <v>27500.0</v>
      </c>
      <c r="D609" s="89">
        <v>27500.0</v>
      </c>
      <c r="E609" s="58"/>
      <c r="F609" s="58"/>
    </row>
    <row r="610" ht="14.25" customHeight="1">
      <c r="A610" s="459" t="s">
        <v>2094</v>
      </c>
      <c r="B610" s="168" t="s">
        <v>2095</v>
      </c>
      <c r="C610" s="460">
        <v>24000.0</v>
      </c>
      <c r="D610" s="463">
        <f t="shared" ref="D610:D615" si="23">C610*0.97</f>
        <v>23280</v>
      </c>
      <c r="E610" s="58"/>
      <c r="F610" s="58"/>
    </row>
    <row r="611" ht="14.25" customHeight="1">
      <c r="A611" s="63" t="s">
        <v>2096</v>
      </c>
      <c r="B611" s="55" t="s">
        <v>2097</v>
      </c>
      <c r="C611" s="56">
        <v>26000.0</v>
      </c>
      <c r="D611" s="57">
        <f t="shared" si="23"/>
        <v>25220</v>
      </c>
      <c r="E611" s="58"/>
      <c r="F611" s="58"/>
      <c r="N611" s="34"/>
    </row>
    <row r="612" ht="14.25" customHeight="1">
      <c r="A612" s="459" t="s">
        <v>2098</v>
      </c>
      <c r="B612" s="168" t="s">
        <v>2099</v>
      </c>
      <c r="C612" s="460">
        <v>28900.0</v>
      </c>
      <c r="D612" s="463">
        <f t="shared" si="23"/>
        <v>28033</v>
      </c>
      <c r="E612" s="58"/>
      <c r="F612" s="58"/>
      <c r="N612" s="34"/>
    </row>
    <row r="613" ht="14.25" customHeight="1">
      <c r="A613" s="63" t="s">
        <v>2100</v>
      </c>
      <c r="B613" s="55" t="s">
        <v>2101</v>
      </c>
      <c r="C613" s="56">
        <v>85000.0</v>
      </c>
      <c r="D613" s="57">
        <f t="shared" si="23"/>
        <v>82450</v>
      </c>
      <c r="E613" s="58"/>
      <c r="F613" s="58"/>
    </row>
    <row r="614" ht="14.25" customHeight="1">
      <c r="A614" s="459"/>
      <c r="B614" s="168" t="s">
        <v>2102</v>
      </c>
      <c r="C614" s="460">
        <v>130000.0</v>
      </c>
      <c r="D614" s="463">
        <f t="shared" si="23"/>
        <v>126100</v>
      </c>
      <c r="E614" s="58"/>
      <c r="F614" s="58"/>
      <c r="G614" s="34"/>
    </row>
    <row r="615" ht="14.25" customHeight="1">
      <c r="A615" s="63" t="s">
        <v>2103</v>
      </c>
      <c r="B615" s="55" t="s">
        <v>2104</v>
      </c>
      <c r="C615" s="56">
        <v>90000.0</v>
      </c>
      <c r="D615" s="57">
        <f t="shared" si="23"/>
        <v>87300</v>
      </c>
      <c r="E615" s="58"/>
      <c r="F615" s="58"/>
      <c r="G615" s="34" t="s">
        <v>42</v>
      </c>
    </row>
    <row r="616" ht="14.25" customHeight="1">
      <c r="A616" s="459" t="s">
        <v>2105</v>
      </c>
      <c r="B616" s="168" t="s">
        <v>2106</v>
      </c>
      <c r="C616" s="460">
        <v>16900.0</v>
      </c>
      <c r="D616" s="461">
        <v>16900.0</v>
      </c>
      <c r="E616" s="58"/>
      <c r="F616" s="58"/>
      <c r="G616" s="34" t="s">
        <v>670</v>
      </c>
    </row>
    <row r="617" ht="14.25" customHeight="1">
      <c r="A617" s="63" t="s">
        <v>2107</v>
      </c>
      <c r="B617" s="55" t="s">
        <v>2108</v>
      </c>
      <c r="C617" s="56">
        <v>18500.0</v>
      </c>
      <c r="D617" s="57">
        <f t="shared" ref="D617:D624" si="24">C617*0.97</f>
        <v>17945</v>
      </c>
      <c r="E617" s="58"/>
      <c r="F617" s="58"/>
    </row>
    <row r="618" ht="14.25" customHeight="1">
      <c r="A618" s="459" t="s">
        <v>2109</v>
      </c>
      <c r="B618" s="168" t="s">
        <v>2110</v>
      </c>
      <c r="C618" s="460">
        <v>22500.0</v>
      </c>
      <c r="D618" s="463">
        <f t="shared" si="24"/>
        <v>21825</v>
      </c>
      <c r="E618" s="58"/>
      <c r="F618" s="58"/>
    </row>
    <row r="619" ht="14.25" customHeight="1">
      <c r="A619" s="63" t="s">
        <v>2111</v>
      </c>
      <c r="B619" s="55" t="s">
        <v>2112</v>
      </c>
      <c r="C619" s="56">
        <v>30000.0</v>
      </c>
      <c r="D619" s="57">
        <f t="shared" si="24"/>
        <v>29100</v>
      </c>
      <c r="E619" s="58"/>
      <c r="F619" s="58"/>
    </row>
    <row r="620" ht="14.25" customHeight="1">
      <c r="A620" s="459" t="s">
        <v>2113</v>
      </c>
      <c r="B620" s="168" t="s">
        <v>2114</v>
      </c>
      <c r="C620" s="460">
        <v>27500.0</v>
      </c>
      <c r="D620" s="463">
        <f t="shared" si="24"/>
        <v>26675</v>
      </c>
      <c r="E620" s="58">
        <v>7.0</v>
      </c>
      <c r="F620" s="58"/>
    </row>
    <row r="621" ht="14.25" customHeight="1">
      <c r="A621" s="63" t="s">
        <v>2115</v>
      </c>
      <c r="B621" s="55" t="s">
        <v>2116</v>
      </c>
      <c r="C621" s="56">
        <v>28500.0</v>
      </c>
      <c r="D621" s="57">
        <f t="shared" si="24"/>
        <v>27645</v>
      </c>
      <c r="E621" s="58"/>
      <c r="F621" s="58"/>
      <c r="G621" s="34"/>
    </row>
    <row r="622" ht="14.25" customHeight="1">
      <c r="A622" s="459" t="s">
        <v>2117</v>
      </c>
      <c r="B622" s="168" t="s">
        <v>2118</v>
      </c>
      <c r="C622" s="460">
        <v>25000.0</v>
      </c>
      <c r="D622" s="463">
        <f t="shared" si="24"/>
        <v>24250</v>
      </c>
      <c r="E622" s="58"/>
      <c r="F622" s="58"/>
      <c r="G622" s="34"/>
    </row>
    <row r="623" ht="14.25" customHeight="1">
      <c r="A623" s="63" t="s">
        <v>2119</v>
      </c>
      <c r="B623" s="55" t="s">
        <v>2120</v>
      </c>
      <c r="C623" s="56">
        <v>25000.0</v>
      </c>
      <c r="D623" s="57">
        <f t="shared" si="24"/>
        <v>24250</v>
      </c>
      <c r="E623" s="58"/>
      <c r="F623" s="58"/>
      <c r="G623" s="34"/>
    </row>
    <row r="624" ht="14.25" customHeight="1">
      <c r="A624" s="459" t="s">
        <v>2121</v>
      </c>
      <c r="B624" s="168" t="s">
        <v>2122</v>
      </c>
      <c r="C624" s="460">
        <v>28000.0</v>
      </c>
      <c r="D624" s="463">
        <f t="shared" si="24"/>
        <v>27160</v>
      </c>
      <c r="E624" s="58"/>
      <c r="F624" s="58"/>
      <c r="G624" s="34"/>
    </row>
    <row r="625" ht="14.25" customHeight="1">
      <c r="E625" s="58"/>
      <c r="F625" s="58"/>
      <c r="G625" s="34"/>
    </row>
    <row r="626" ht="46.5" customHeight="1">
      <c r="A626" s="467" t="s">
        <v>1889</v>
      </c>
      <c r="B626" s="16"/>
      <c r="C626" s="17"/>
      <c r="D626" s="468"/>
      <c r="E626" s="58"/>
      <c r="F626" s="58"/>
    </row>
    <row r="627" ht="24.0" customHeight="1">
      <c r="A627" s="469" t="s">
        <v>2123</v>
      </c>
      <c r="B627" s="470" t="s">
        <v>2124</v>
      </c>
      <c r="C627" s="471">
        <v>26000.0</v>
      </c>
      <c r="D627" s="472">
        <f t="shared" ref="D627:D651" si="25">C627*0.97</f>
        <v>25220</v>
      </c>
      <c r="E627" s="58"/>
      <c r="F627" s="58"/>
    </row>
    <row r="628" ht="14.25" customHeight="1">
      <c r="A628" s="63"/>
      <c r="B628" s="55" t="s">
        <v>2125</v>
      </c>
      <c r="C628" s="56">
        <v>42000.0</v>
      </c>
      <c r="D628" s="57">
        <f t="shared" si="25"/>
        <v>40740</v>
      </c>
      <c r="E628" s="58"/>
      <c r="F628" s="58"/>
    </row>
    <row r="629" ht="14.25" customHeight="1">
      <c r="A629" s="473" t="s">
        <v>2126</v>
      </c>
      <c r="B629" s="336" t="s">
        <v>2127</v>
      </c>
      <c r="C629" s="474">
        <v>60000.0</v>
      </c>
      <c r="D629" s="475">
        <f t="shared" si="25"/>
        <v>58200</v>
      </c>
      <c r="E629" s="58"/>
      <c r="F629" s="58"/>
    </row>
    <row r="630" ht="14.25" customHeight="1">
      <c r="A630" s="63" t="s">
        <v>2128</v>
      </c>
      <c r="B630" s="55" t="s">
        <v>2129</v>
      </c>
      <c r="C630" s="56">
        <v>27500.0</v>
      </c>
      <c r="D630" s="57">
        <f t="shared" si="25"/>
        <v>26675</v>
      </c>
      <c r="E630" s="58"/>
      <c r="F630" s="58"/>
    </row>
    <row r="631" ht="14.25" customHeight="1">
      <c r="A631" s="473" t="s">
        <v>2130</v>
      </c>
      <c r="B631" s="336" t="s">
        <v>2131</v>
      </c>
      <c r="C631" s="474">
        <v>41000.0</v>
      </c>
      <c r="D631" s="475">
        <f t="shared" si="25"/>
        <v>39770</v>
      </c>
      <c r="E631" s="58"/>
      <c r="F631" s="58"/>
    </row>
    <row r="632" ht="14.25" customHeight="1">
      <c r="A632" s="63" t="s">
        <v>2132</v>
      </c>
      <c r="B632" s="55" t="s">
        <v>1898</v>
      </c>
      <c r="C632" s="56">
        <v>35000.0</v>
      </c>
      <c r="D632" s="57">
        <f t="shared" si="25"/>
        <v>33950</v>
      </c>
      <c r="E632" s="58"/>
      <c r="F632" s="58"/>
    </row>
    <row r="633" ht="14.25" customHeight="1">
      <c r="A633" s="473" t="s">
        <v>2133</v>
      </c>
      <c r="B633" s="336" t="s">
        <v>2134</v>
      </c>
      <c r="C633" s="474">
        <v>25000.0</v>
      </c>
      <c r="D633" s="475">
        <f t="shared" si="25"/>
        <v>24250</v>
      </c>
      <c r="E633" s="58"/>
      <c r="F633" s="58"/>
      <c r="G633" s="34"/>
    </row>
    <row r="634" ht="14.25" customHeight="1">
      <c r="A634" s="63" t="s">
        <v>2135</v>
      </c>
      <c r="B634" s="55" t="s">
        <v>2136</v>
      </c>
      <c r="C634" s="56">
        <v>26000.0</v>
      </c>
      <c r="D634" s="57">
        <f t="shared" si="25"/>
        <v>25220</v>
      </c>
      <c r="E634" s="58"/>
      <c r="F634" s="58"/>
      <c r="G634" s="34" t="s">
        <v>42</v>
      </c>
    </row>
    <row r="635" ht="14.25" customHeight="1">
      <c r="A635" s="473" t="s">
        <v>2137</v>
      </c>
      <c r="B635" s="336" t="s">
        <v>2138</v>
      </c>
      <c r="C635" s="474">
        <v>27500.0</v>
      </c>
      <c r="D635" s="475">
        <f t="shared" si="25"/>
        <v>26675</v>
      </c>
      <c r="E635" s="58"/>
      <c r="F635" s="58"/>
      <c r="G635" s="34" t="s">
        <v>42</v>
      </c>
    </row>
    <row r="636" ht="14.25" customHeight="1">
      <c r="A636" s="63" t="s">
        <v>2139</v>
      </c>
      <c r="B636" s="55" t="s">
        <v>2140</v>
      </c>
      <c r="C636" s="56">
        <v>28500.0</v>
      </c>
      <c r="D636" s="57">
        <f t="shared" si="25"/>
        <v>27645</v>
      </c>
      <c r="E636" s="58"/>
      <c r="F636" s="58"/>
      <c r="G636" s="34" t="s">
        <v>42</v>
      </c>
    </row>
    <row r="637" ht="14.25" customHeight="1">
      <c r="A637" s="473" t="s">
        <v>2141</v>
      </c>
      <c r="B637" s="336" t="s">
        <v>2142</v>
      </c>
      <c r="C637" s="474">
        <v>30000.0</v>
      </c>
      <c r="D637" s="475">
        <f t="shared" si="25"/>
        <v>29100</v>
      </c>
      <c r="E637" s="58"/>
      <c r="F637" s="58"/>
      <c r="G637" s="34"/>
    </row>
    <row r="638" ht="14.25" customHeight="1">
      <c r="A638" s="63" t="s">
        <v>2143</v>
      </c>
      <c r="B638" s="55" t="s">
        <v>2144</v>
      </c>
      <c r="C638" s="56">
        <v>30000.0</v>
      </c>
      <c r="D638" s="57">
        <f t="shared" si="25"/>
        <v>29100</v>
      </c>
      <c r="E638" s="58"/>
      <c r="F638" s="58"/>
      <c r="G638" s="34"/>
    </row>
    <row r="639" ht="14.25" customHeight="1">
      <c r="A639" s="473">
        <v>38003.0</v>
      </c>
      <c r="B639" s="336" t="s">
        <v>2145</v>
      </c>
      <c r="C639" s="474">
        <v>25000.0</v>
      </c>
      <c r="D639" s="475">
        <f t="shared" si="25"/>
        <v>24250</v>
      </c>
      <c r="E639" s="58"/>
      <c r="F639" s="58"/>
      <c r="G639" s="34" t="s">
        <v>42</v>
      </c>
    </row>
    <row r="640" ht="14.25" customHeight="1">
      <c r="A640" s="63" t="s">
        <v>2146</v>
      </c>
      <c r="B640" s="55" t="s">
        <v>2147</v>
      </c>
      <c r="C640" s="56">
        <v>27500.0</v>
      </c>
      <c r="D640" s="57">
        <f t="shared" si="25"/>
        <v>26675</v>
      </c>
      <c r="E640" s="58"/>
      <c r="F640" s="58"/>
      <c r="G640" s="34"/>
    </row>
    <row r="641" ht="14.25" customHeight="1">
      <c r="A641" s="473" t="s">
        <v>2148</v>
      </c>
      <c r="B641" s="336" t="s">
        <v>2149</v>
      </c>
      <c r="C641" s="474">
        <v>28000.0</v>
      </c>
      <c r="D641" s="475">
        <f t="shared" si="25"/>
        <v>27160</v>
      </c>
      <c r="E641" s="58"/>
      <c r="F641" s="58"/>
      <c r="G641" s="34"/>
    </row>
    <row r="642" ht="14.25" customHeight="1">
      <c r="A642" s="63" t="s">
        <v>2150</v>
      </c>
      <c r="B642" s="55" t="s">
        <v>2151</v>
      </c>
      <c r="C642" s="56">
        <v>27500.0</v>
      </c>
      <c r="D642" s="57">
        <f t="shared" si="25"/>
        <v>26675</v>
      </c>
      <c r="E642" s="58"/>
      <c r="F642" s="58"/>
      <c r="G642" s="34" t="s">
        <v>42</v>
      </c>
    </row>
    <row r="643" ht="14.25" customHeight="1">
      <c r="A643" s="473" t="s">
        <v>2152</v>
      </c>
      <c r="B643" s="336" t="s">
        <v>2153</v>
      </c>
      <c r="C643" s="474">
        <v>34000.0</v>
      </c>
      <c r="D643" s="475">
        <f t="shared" si="25"/>
        <v>32980</v>
      </c>
      <c r="E643" s="58"/>
      <c r="F643" s="58"/>
      <c r="G643" s="34" t="s">
        <v>42</v>
      </c>
    </row>
    <row r="644" ht="14.25" customHeight="1">
      <c r="A644" s="63" t="s">
        <v>2154</v>
      </c>
      <c r="B644" s="55" t="s">
        <v>2155</v>
      </c>
      <c r="C644" s="56">
        <v>33000.0</v>
      </c>
      <c r="D644" s="57">
        <f t="shared" si="25"/>
        <v>32010</v>
      </c>
      <c r="E644" s="58"/>
      <c r="F644" s="58"/>
    </row>
    <row r="645" ht="14.25" customHeight="1">
      <c r="A645" s="473" t="s">
        <v>2156</v>
      </c>
      <c r="B645" s="336" t="s">
        <v>2157</v>
      </c>
      <c r="C645" s="474">
        <v>33000.0</v>
      </c>
      <c r="D645" s="475">
        <f t="shared" si="25"/>
        <v>32010</v>
      </c>
      <c r="E645" s="58"/>
      <c r="F645" s="58"/>
      <c r="G645" s="34"/>
    </row>
    <row r="646" ht="14.25" customHeight="1">
      <c r="A646" s="63" t="s">
        <v>2158</v>
      </c>
      <c r="B646" s="55" t="s">
        <v>2159</v>
      </c>
      <c r="C646" s="56">
        <v>33000.0</v>
      </c>
      <c r="D646" s="57">
        <f t="shared" si="25"/>
        <v>32010</v>
      </c>
      <c r="E646" s="58"/>
      <c r="F646" s="58"/>
      <c r="G646" s="34"/>
    </row>
    <row r="647" ht="14.25" customHeight="1">
      <c r="A647" s="473" t="s">
        <v>2160</v>
      </c>
      <c r="B647" s="336" t="s">
        <v>2161</v>
      </c>
      <c r="C647" s="474">
        <v>71000.0</v>
      </c>
      <c r="D647" s="475">
        <f t="shared" si="25"/>
        <v>68870</v>
      </c>
      <c r="E647" s="58"/>
      <c r="F647" s="58"/>
      <c r="G647" s="34"/>
    </row>
    <row r="648" ht="14.25" customHeight="1">
      <c r="A648" s="63" t="s">
        <v>2162</v>
      </c>
      <c r="B648" s="55" t="s">
        <v>2163</v>
      </c>
      <c r="C648" s="56">
        <v>30000.0</v>
      </c>
      <c r="D648" s="57">
        <f t="shared" si="25"/>
        <v>29100</v>
      </c>
      <c r="E648" s="58"/>
      <c r="F648" s="58"/>
      <c r="G648" s="34" t="s">
        <v>42</v>
      </c>
    </row>
    <row r="649" ht="14.25" customHeight="1">
      <c r="A649" s="473" t="s">
        <v>2164</v>
      </c>
      <c r="B649" s="336" t="s">
        <v>2165</v>
      </c>
      <c r="C649" s="474">
        <v>39000.0</v>
      </c>
      <c r="D649" s="475">
        <f t="shared" si="25"/>
        <v>37830</v>
      </c>
      <c r="E649" s="58"/>
      <c r="F649" s="58"/>
      <c r="G649" s="34" t="s">
        <v>42</v>
      </c>
    </row>
    <row r="650" ht="14.25" customHeight="1">
      <c r="A650" s="63" t="s">
        <v>2166</v>
      </c>
      <c r="B650" s="55" t="s">
        <v>2167</v>
      </c>
      <c r="C650" s="56">
        <v>38000.0</v>
      </c>
      <c r="D650" s="57">
        <f t="shared" si="25"/>
        <v>36860</v>
      </c>
      <c r="E650" s="58"/>
      <c r="F650" s="58"/>
      <c r="G650" s="34" t="s">
        <v>42</v>
      </c>
    </row>
    <row r="651" ht="14.25" customHeight="1">
      <c r="A651" s="473" t="s">
        <v>2168</v>
      </c>
      <c r="B651" s="476" t="s">
        <v>2169</v>
      </c>
      <c r="C651" s="474">
        <v>29000.0</v>
      </c>
      <c r="D651" s="475">
        <f t="shared" si="25"/>
        <v>28130</v>
      </c>
      <c r="E651" s="58"/>
      <c r="F651" s="58"/>
    </row>
    <row r="652" ht="49.5" customHeight="1">
      <c r="A652" s="477"/>
      <c r="B652" s="478" t="s">
        <v>2170</v>
      </c>
      <c r="C652" s="239"/>
      <c r="D652" s="241"/>
      <c r="E652" s="479"/>
      <c r="F652" s="479"/>
      <c r="G652" s="34"/>
    </row>
    <row r="653" ht="14.25" customHeight="1">
      <c r="A653" s="480" t="s">
        <v>2171</v>
      </c>
      <c r="B653" s="481" t="s">
        <v>2172</v>
      </c>
      <c r="C653" s="481">
        <v>27500.0</v>
      </c>
      <c r="D653" s="482">
        <v>27500.0</v>
      </c>
      <c r="E653" s="479"/>
      <c r="F653" s="479"/>
      <c r="G653" s="34" t="s">
        <v>42</v>
      </c>
    </row>
    <row r="654" ht="14.25" customHeight="1">
      <c r="A654" s="63" t="s">
        <v>2173</v>
      </c>
      <c r="B654" s="200" t="s">
        <v>2174</v>
      </c>
      <c r="C654" s="200">
        <v>95000.0</v>
      </c>
      <c r="D654" s="57">
        <f>C654*0.97</f>
        <v>92150</v>
      </c>
      <c r="E654" s="479"/>
      <c r="F654" s="479"/>
      <c r="G654" s="34" t="s">
        <v>42</v>
      </c>
    </row>
    <row r="655" ht="14.25" customHeight="1">
      <c r="A655" s="480" t="s">
        <v>2175</v>
      </c>
      <c r="B655" s="481" t="s">
        <v>2176</v>
      </c>
      <c r="C655" s="481">
        <v>30000.0</v>
      </c>
      <c r="D655" s="482">
        <v>27500.0</v>
      </c>
      <c r="E655" s="479"/>
      <c r="F655" s="479"/>
    </row>
    <row r="656" ht="14.25" customHeight="1">
      <c r="A656" s="63" t="s">
        <v>2177</v>
      </c>
      <c r="B656" s="200" t="s">
        <v>2178</v>
      </c>
      <c r="C656" s="200">
        <v>27500.0</v>
      </c>
      <c r="D656" s="89">
        <v>27500.0</v>
      </c>
      <c r="E656" s="479"/>
      <c r="F656" s="479"/>
      <c r="G656" s="34" t="s">
        <v>42</v>
      </c>
    </row>
    <row r="657" ht="14.25" customHeight="1">
      <c r="A657" s="480" t="s">
        <v>2179</v>
      </c>
      <c r="B657" s="481" t="s">
        <v>2180</v>
      </c>
      <c r="C657" s="481">
        <v>31900.0</v>
      </c>
      <c r="D657" s="483">
        <f t="shared" ref="D657:D667" si="26">C657*0.97</f>
        <v>30943</v>
      </c>
      <c r="E657" s="479"/>
      <c r="F657" s="479"/>
      <c r="G657" s="34" t="s">
        <v>78</v>
      </c>
    </row>
    <row r="658" ht="14.25" customHeight="1">
      <c r="A658" s="63" t="s">
        <v>2181</v>
      </c>
      <c r="B658" s="200" t="s">
        <v>2182</v>
      </c>
      <c r="C658" s="200">
        <v>27500.0</v>
      </c>
      <c r="D658" s="57">
        <f t="shared" si="26"/>
        <v>26675</v>
      </c>
      <c r="E658" s="479"/>
      <c r="F658" s="479"/>
    </row>
    <row r="659" ht="14.25" customHeight="1">
      <c r="A659" s="480" t="s">
        <v>2183</v>
      </c>
      <c r="B659" s="481" t="s">
        <v>2184</v>
      </c>
      <c r="C659" s="481">
        <v>36000.0</v>
      </c>
      <c r="D659" s="483">
        <f t="shared" si="26"/>
        <v>34920</v>
      </c>
      <c r="E659" s="479"/>
      <c r="F659" s="479"/>
    </row>
    <row r="660" ht="14.25" customHeight="1">
      <c r="A660" s="63" t="s">
        <v>2185</v>
      </c>
      <c r="B660" s="153" t="s">
        <v>2186</v>
      </c>
      <c r="C660" s="200">
        <v>36000.0</v>
      </c>
      <c r="D660" s="57">
        <f t="shared" si="26"/>
        <v>34920</v>
      </c>
      <c r="E660" s="479"/>
      <c r="F660" s="479"/>
    </row>
    <row r="661" ht="14.25" customHeight="1">
      <c r="A661" s="480" t="s">
        <v>2187</v>
      </c>
      <c r="B661" s="481" t="s">
        <v>2188</v>
      </c>
      <c r="C661" s="481">
        <v>34000.0</v>
      </c>
      <c r="D661" s="483">
        <f t="shared" si="26"/>
        <v>32980</v>
      </c>
      <c r="E661" s="479"/>
      <c r="F661" s="479"/>
    </row>
    <row r="662" ht="14.25" customHeight="1">
      <c r="A662" s="63" t="s">
        <v>2189</v>
      </c>
      <c r="B662" s="200" t="s">
        <v>2190</v>
      </c>
      <c r="C662" s="200">
        <v>33000.0</v>
      </c>
      <c r="D662" s="57">
        <f t="shared" si="26"/>
        <v>32010</v>
      </c>
      <c r="E662" s="479"/>
      <c r="F662" s="479"/>
    </row>
    <row r="663" ht="14.25" customHeight="1">
      <c r="A663" s="480" t="s">
        <v>2191</v>
      </c>
      <c r="B663" s="481" t="s">
        <v>2192</v>
      </c>
      <c r="C663" s="481">
        <v>90000.0</v>
      </c>
      <c r="D663" s="483">
        <f t="shared" si="26"/>
        <v>87300</v>
      </c>
      <c r="E663" s="479"/>
      <c r="F663" s="479"/>
    </row>
    <row r="664" ht="14.25" customHeight="1">
      <c r="A664" s="63" t="s">
        <v>2193</v>
      </c>
      <c r="B664" s="200" t="s">
        <v>2194</v>
      </c>
      <c r="C664" s="200">
        <v>33000.0</v>
      </c>
      <c r="D664" s="57">
        <f t="shared" si="26"/>
        <v>32010</v>
      </c>
      <c r="E664" s="479"/>
      <c r="F664" s="479"/>
    </row>
    <row r="665" ht="14.25" customHeight="1">
      <c r="A665" s="480" t="s">
        <v>2195</v>
      </c>
      <c r="B665" s="481" t="s">
        <v>2196</v>
      </c>
      <c r="C665" s="481">
        <v>33000.0</v>
      </c>
      <c r="D665" s="483">
        <f t="shared" si="26"/>
        <v>32010</v>
      </c>
      <c r="E665" s="479"/>
      <c r="F665" s="479"/>
    </row>
    <row r="666" ht="14.25" customHeight="1">
      <c r="A666" s="63" t="s">
        <v>2197</v>
      </c>
      <c r="B666" s="200" t="s">
        <v>2198</v>
      </c>
      <c r="C666" s="200">
        <v>36000.0</v>
      </c>
      <c r="D666" s="57">
        <f t="shared" si="26"/>
        <v>34920</v>
      </c>
      <c r="E666" s="479"/>
      <c r="F666" s="479"/>
    </row>
    <row r="667" ht="18.75" customHeight="1">
      <c r="A667" s="480" t="s">
        <v>2199</v>
      </c>
      <c r="B667" s="481" t="s">
        <v>2200</v>
      </c>
      <c r="C667" s="481">
        <v>27500.0</v>
      </c>
      <c r="D667" s="483">
        <f t="shared" si="26"/>
        <v>26675</v>
      </c>
      <c r="E667" s="479"/>
      <c r="F667" s="479"/>
    </row>
    <row r="668" ht="45.0" customHeight="1">
      <c r="A668" s="484"/>
      <c r="B668" s="485" t="s">
        <v>2201</v>
      </c>
      <c r="C668" s="239"/>
      <c r="D668" s="241"/>
      <c r="E668" s="479"/>
      <c r="F668" s="479"/>
    </row>
    <row r="669" ht="14.25" customHeight="1">
      <c r="A669" s="486" t="s">
        <v>2202</v>
      </c>
      <c r="B669" s="487" t="s">
        <v>2203</v>
      </c>
      <c r="C669" s="487">
        <v>34000.0</v>
      </c>
      <c r="D669" s="488">
        <f t="shared" ref="D669:D685" si="27">C669*0.97</f>
        <v>32980</v>
      </c>
      <c r="E669" s="479"/>
      <c r="F669" s="479"/>
    </row>
    <row r="670" ht="14.25" customHeight="1">
      <c r="A670" s="489" t="s">
        <v>2204</v>
      </c>
      <c r="B670" s="490" t="s">
        <v>2205</v>
      </c>
      <c r="C670" s="490">
        <v>27500.0</v>
      </c>
      <c r="D670" s="491">
        <f t="shared" si="27"/>
        <v>26675</v>
      </c>
      <c r="E670" s="479"/>
      <c r="F670" s="479"/>
    </row>
    <row r="671" ht="14.25" customHeight="1">
      <c r="A671" s="492" t="s">
        <v>2152</v>
      </c>
      <c r="B671" s="493" t="s">
        <v>2206</v>
      </c>
      <c r="C671" s="493">
        <v>34000.0</v>
      </c>
      <c r="D671" s="494">
        <f t="shared" si="27"/>
        <v>32980</v>
      </c>
      <c r="E671" s="479"/>
      <c r="F671" s="479"/>
    </row>
    <row r="672" ht="14.25" customHeight="1">
      <c r="A672" s="489" t="s">
        <v>2207</v>
      </c>
      <c r="B672" s="490" t="s">
        <v>2208</v>
      </c>
      <c r="C672" s="490">
        <v>36000.0</v>
      </c>
      <c r="D672" s="491">
        <f t="shared" si="27"/>
        <v>34920</v>
      </c>
      <c r="E672" s="479"/>
      <c r="F672" s="479"/>
    </row>
    <row r="673" ht="14.25" customHeight="1">
      <c r="A673" s="492" t="s">
        <v>2209</v>
      </c>
      <c r="B673" s="493" t="s">
        <v>2210</v>
      </c>
      <c r="C673" s="493">
        <v>35000.0</v>
      </c>
      <c r="D673" s="494">
        <f t="shared" si="27"/>
        <v>33950</v>
      </c>
      <c r="E673" s="479"/>
      <c r="F673" s="479"/>
    </row>
    <row r="674" ht="14.25" customHeight="1">
      <c r="A674" s="489" t="s">
        <v>2211</v>
      </c>
      <c r="B674" s="490" t="s">
        <v>2212</v>
      </c>
      <c r="C674" s="490">
        <v>37000.0</v>
      </c>
      <c r="D674" s="491">
        <f t="shared" si="27"/>
        <v>35890</v>
      </c>
      <c r="E674" s="479"/>
      <c r="F674" s="479"/>
    </row>
    <row r="675" ht="14.25" customHeight="1">
      <c r="A675" s="492" t="s">
        <v>2213</v>
      </c>
      <c r="B675" s="493" t="s">
        <v>2214</v>
      </c>
      <c r="C675" s="493">
        <v>39000.0</v>
      </c>
      <c r="D675" s="494">
        <f t="shared" si="27"/>
        <v>37830</v>
      </c>
      <c r="E675" s="479"/>
      <c r="F675" s="479"/>
    </row>
    <row r="676" ht="14.25" customHeight="1">
      <c r="A676" s="495" t="s">
        <v>2215</v>
      </c>
      <c r="B676" s="496" t="s">
        <v>2216</v>
      </c>
      <c r="C676" s="496">
        <v>27500.0</v>
      </c>
      <c r="D676" s="57">
        <f t="shared" si="27"/>
        <v>26675</v>
      </c>
      <c r="E676" s="479"/>
      <c r="F676" s="479"/>
    </row>
    <row r="677" ht="14.25" customHeight="1">
      <c r="A677" s="497" t="s">
        <v>2217</v>
      </c>
      <c r="B677" s="498" t="s">
        <v>2218</v>
      </c>
      <c r="C677" s="498">
        <v>27500.0</v>
      </c>
      <c r="D677" s="499">
        <f t="shared" si="27"/>
        <v>26675</v>
      </c>
      <c r="E677" s="479"/>
      <c r="F677" s="479"/>
    </row>
    <row r="678" ht="14.25" customHeight="1">
      <c r="A678" s="495" t="s">
        <v>2219</v>
      </c>
      <c r="B678" s="496" t="s">
        <v>2220</v>
      </c>
      <c r="C678" s="496">
        <v>27500.0</v>
      </c>
      <c r="D678" s="57">
        <f t="shared" si="27"/>
        <v>26675</v>
      </c>
      <c r="E678" s="479"/>
      <c r="F678" s="479"/>
    </row>
    <row r="679" ht="14.25" customHeight="1">
      <c r="A679" s="497" t="s">
        <v>2221</v>
      </c>
      <c r="B679" s="498" t="s">
        <v>2222</v>
      </c>
      <c r="C679" s="498">
        <v>27500.0</v>
      </c>
      <c r="D679" s="499">
        <f t="shared" si="27"/>
        <v>26675</v>
      </c>
      <c r="E679" s="479"/>
      <c r="F679" s="479"/>
    </row>
    <row r="680" ht="14.25" customHeight="1">
      <c r="A680" s="495" t="s">
        <v>2223</v>
      </c>
      <c r="B680" s="496" t="s">
        <v>2224</v>
      </c>
      <c r="C680" s="496">
        <v>48000.0</v>
      </c>
      <c r="D680" s="57">
        <f t="shared" si="27"/>
        <v>46560</v>
      </c>
      <c r="E680" s="479"/>
      <c r="F680" s="479"/>
    </row>
    <row r="681" ht="14.25" customHeight="1">
      <c r="A681" s="497" t="s">
        <v>2225</v>
      </c>
      <c r="B681" s="498" t="s">
        <v>2226</v>
      </c>
      <c r="C681" s="498">
        <v>48000.0</v>
      </c>
      <c r="D681" s="499">
        <f t="shared" si="27"/>
        <v>46560</v>
      </c>
      <c r="E681" s="479"/>
      <c r="F681" s="479"/>
    </row>
    <row r="682" ht="14.25" customHeight="1">
      <c r="A682" s="495" t="s">
        <v>2227</v>
      </c>
      <c r="B682" s="496" t="s">
        <v>2228</v>
      </c>
      <c r="C682" s="496">
        <v>70000.0</v>
      </c>
      <c r="D682" s="57">
        <f t="shared" si="27"/>
        <v>67900</v>
      </c>
      <c r="E682" s="479"/>
      <c r="F682" s="479"/>
    </row>
    <row r="683" ht="14.25" customHeight="1">
      <c r="A683" s="497" t="s">
        <v>2229</v>
      </c>
      <c r="B683" s="498" t="s">
        <v>2230</v>
      </c>
      <c r="C683" s="498">
        <v>75000.0</v>
      </c>
      <c r="D683" s="499">
        <f t="shared" si="27"/>
        <v>72750</v>
      </c>
      <c r="E683" s="479"/>
      <c r="F683" s="479"/>
    </row>
    <row r="684" ht="14.25" customHeight="1">
      <c r="A684" s="63" t="s">
        <v>2231</v>
      </c>
      <c r="B684" s="200" t="s">
        <v>2232</v>
      </c>
      <c r="C684" s="200">
        <v>28000.0</v>
      </c>
      <c r="D684" s="57">
        <f t="shared" si="27"/>
        <v>27160</v>
      </c>
      <c r="E684" s="479"/>
      <c r="F684" s="479"/>
    </row>
    <row r="685" ht="14.25" customHeight="1">
      <c r="A685" s="497" t="s">
        <v>2233</v>
      </c>
      <c r="B685" s="498" t="s">
        <v>2234</v>
      </c>
      <c r="C685" s="498">
        <v>30000.0</v>
      </c>
      <c r="D685" s="499">
        <f t="shared" si="27"/>
        <v>29100</v>
      </c>
    </row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</sheetData>
  <autoFilter ref="$B$36:$B$37"/>
  <mergeCells count="14">
    <mergeCell ref="B439:D439"/>
    <mergeCell ref="B495:D495"/>
    <mergeCell ref="B529:D529"/>
    <mergeCell ref="B534:D534"/>
    <mergeCell ref="A626:C626"/>
    <mergeCell ref="B652:D652"/>
    <mergeCell ref="B668:D668"/>
    <mergeCell ref="B1:F1"/>
    <mergeCell ref="E2:E3"/>
    <mergeCell ref="F2:F3"/>
    <mergeCell ref="B3:D3"/>
    <mergeCell ref="B178:D178"/>
    <mergeCell ref="B418:D418"/>
    <mergeCell ref="B436:D436"/>
  </mergeCells>
  <conditionalFormatting sqref="E4:E518 E522:E651">
    <cfRule type="cellIs" dxfId="8" priority="1" operator="between">
      <formula>3</formula>
      <formula>1</formula>
    </cfRule>
  </conditionalFormatting>
  <conditionalFormatting sqref="E4:E518 E522:E651">
    <cfRule type="cellIs" dxfId="9" priority="2" operator="lessThan">
      <formula>3</formula>
    </cfRule>
  </conditionalFormatting>
  <conditionalFormatting sqref="E4:E518 E522:E651">
    <cfRule type="cellIs" dxfId="9" priority="3" operator="lessThan">
      <formula>0</formula>
    </cfRule>
  </conditionalFormatting>
  <conditionalFormatting sqref="E4:E518 E522:E651">
    <cfRule type="cellIs" dxfId="10" priority="4" operator="greaterThan">
      <formula>3</formula>
    </cfRule>
  </conditionalFormatting>
  <conditionalFormatting sqref="E4:E518 E522:E651">
    <cfRule type="cellIs" dxfId="9" priority="5" operator="equal">
      <formula>0</formula>
    </cfRule>
  </conditionalFormatting>
  <conditionalFormatting sqref="E4:E25">
    <cfRule type="cellIs" dxfId="8" priority="6" operator="lessThan">
      <formula>3</formula>
    </cfRule>
  </conditionalFormatting>
  <conditionalFormatting sqref="E4:E25">
    <cfRule type="cellIs" dxfId="11" priority="7" operator="lessThan">
      <formula>0</formula>
    </cfRule>
  </conditionalFormatting>
  <conditionalFormatting sqref="E4:E25">
    <cfRule type="cellIs" dxfId="9" priority="8" operator="lessThan">
      <formula>0</formula>
    </cfRule>
  </conditionalFormatting>
  <conditionalFormatting sqref="E4:E25">
    <cfRule type="cellIs" dxfId="12" priority="9" operator="greaterThan">
      <formula>3</formula>
    </cfRule>
  </conditionalFormatting>
  <conditionalFormatting sqref="E13:E15">
    <cfRule type="cellIs" dxfId="13" priority="10" operator="lessThan">
      <formula>3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D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44.63"/>
    <col customWidth="1" min="3" max="3" width="13.5"/>
    <col customWidth="1" min="4" max="4" width="10.5"/>
    <col customWidth="1" hidden="1" min="5" max="5" width="10.25"/>
    <col customWidth="1" min="6" max="7" width="10.5"/>
    <col customWidth="1" min="8" max="27" width="10.25"/>
  </cols>
  <sheetData>
    <row r="1" ht="70.5" customHeight="1">
      <c r="A1" s="33" t="s">
        <v>26</v>
      </c>
      <c r="B1" s="16"/>
      <c r="C1" s="16"/>
      <c r="D1" s="16"/>
      <c r="E1" s="17"/>
    </row>
    <row r="2" ht="53.25" customHeight="1">
      <c r="A2" s="47" t="s">
        <v>5</v>
      </c>
      <c r="B2" s="48"/>
      <c r="C2" s="48"/>
      <c r="D2" s="49"/>
      <c r="E2" s="51" t="s">
        <v>7</v>
      </c>
    </row>
    <row r="3" ht="28.5" customHeight="1">
      <c r="A3" s="68" t="s">
        <v>45</v>
      </c>
      <c r="B3" s="69" t="s">
        <v>49</v>
      </c>
      <c r="C3" s="70" t="s">
        <v>3</v>
      </c>
      <c r="D3" s="71" t="s">
        <v>4</v>
      </c>
      <c r="E3" s="72"/>
    </row>
    <row r="4" ht="14.25" customHeight="1">
      <c r="A4" s="79" t="s">
        <v>54</v>
      </c>
      <c r="B4" s="83" t="s">
        <v>72</v>
      </c>
      <c r="C4" s="85">
        <v>4500.0</v>
      </c>
      <c r="D4" s="88">
        <f t="shared" ref="D4:D64" si="1">C4*0.97</f>
        <v>4365</v>
      </c>
      <c r="E4" s="25"/>
    </row>
    <row r="5" ht="14.25" customHeight="1">
      <c r="A5" s="63" t="s">
        <v>84</v>
      </c>
      <c r="B5" s="67" t="s">
        <v>87</v>
      </c>
      <c r="C5" s="90">
        <v>4500.0</v>
      </c>
      <c r="D5" s="91">
        <f t="shared" si="1"/>
        <v>4365</v>
      </c>
      <c r="E5" s="58"/>
    </row>
    <row r="6" ht="14.25" customHeight="1">
      <c r="A6" s="79" t="s">
        <v>93</v>
      </c>
      <c r="B6" s="83" t="s">
        <v>96</v>
      </c>
      <c r="C6" s="85">
        <v>6000.0</v>
      </c>
      <c r="D6" s="88">
        <f t="shared" si="1"/>
        <v>5820</v>
      </c>
      <c r="E6" s="58"/>
    </row>
    <row r="7" ht="14.25" customHeight="1">
      <c r="A7" s="63" t="s">
        <v>93</v>
      </c>
      <c r="B7" s="67" t="s">
        <v>102</v>
      </c>
      <c r="C7" s="56">
        <v>6500.0</v>
      </c>
      <c r="D7" s="91">
        <f t="shared" si="1"/>
        <v>6305</v>
      </c>
      <c r="E7" s="58"/>
    </row>
    <row r="8" ht="14.25" customHeight="1">
      <c r="A8" s="79" t="s">
        <v>105</v>
      </c>
      <c r="B8" s="95" t="s">
        <v>106</v>
      </c>
      <c r="C8" s="96">
        <v>6500.0</v>
      </c>
      <c r="D8" s="88">
        <f t="shared" si="1"/>
        <v>6305</v>
      </c>
      <c r="E8" s="58"/>
    </row>
    <row r="9" ht="14.25" customHeight="1">
      <c r="A9" s="63" t="s">
        <v>119</v>
      </c>
      <c r="B9" s="55" t="s">
        <v>121</v>
      </c>
      <c r="C9" s="56">
        <v>4800.0</v>
      </c>
      <c r="D9" s="91">
        <f t="shared" si="1"/>
        <v>4656</v>
      </c>
      <c r="E9" s="58"/>
    </row>
    <row r="10" ht="14.25" customHeight="1">
      <c r="A10" s="79">
        <v>108782.0</v>
      </c>
      <c r="B10" s="83" t="s">
        <v>126</v>
      </c>
      <c r="C10" s="85">
        <v>5000.0</v>
      </c>
      <c r="D10" s="88">
        <f t="shared" si="1"/>
        <v>4850</v>
      </c>
      <c r="E10" s="58"/>
    </row>
    <row r="11" ht="14.25" customHeight="1">
      <c r="A11" s="63">
        <v>108812.0</v>
      </c>
      <c r="B11" s="67" t="s">
        <v>130</v>
      </c>
      <c r="C11" s="56">
        <v>5500.0</v>
      </c>
      <c r="D11" s="91">
        <f t="shared" si="1"/>
        <v>5335</v>
      </c>
      <c r="E11" s="58"/>
    </row>
    <row r="12" ht="14.25" customHeight="1">
      <c r="A12" s="79" t="s">
        <v>134</v>
      </c>
      <c r="B12" s="83" t="s">
        <v>135</v>
      </c>
      <c r="C12" s="96">
        <v>6500.0</v>
      </c>
      <c r="D12" s="88">
        <f t="shared" si="1"/>
        <v>6305</v>
      </c>
      <c r="E12" s="58"/>
    </row>
    <row r="13" ht="14.25" customHeight="1">
      <c r="A13" s="63" t="s">
        <v>138</v>
      </c>
      <c r="B13" s="67" t="s">
        <v>139</v>
      </c>
      <c r="C13" s="56">
        <v>7000.0</v>
      </c>
      <c r="D13" s="91">
        <f t="shared" si="1"/>
        <v>6790</v>
      </c>
      <c r="E13" s="58"/>
    </row>
    <row r="14" ht="14.25" customHeight="1">
      <c r="A14" s="79">
        <v>112475.0</v>
      </c>
      <c r="B14" s="83" t="s">
        <v>142</v>
      </c>
      <c r="C14" s="96">
        <v>6500.0</v>
      </c>
      <c r="D14" s="88">
        <f t="shared" si="1"/>
        <v>6305</v>
      </c>
      <c r="E14" s="58"/>
    </row>
    <row r="15" ht="14.25" customHeight="1">
      <c r="A15" s="63">
        <v>112468.0</v>
      </c>
      <c r="B15" s="67" t="s">
        <v>144</v>
      </c>
      <c r="C15" s="90">
        <v>6000.0</v>
      </c>
      <c r="D15" s="91">
        <f t="shared" si="1"/>
        <v>5820</v>
      </c>
      <c r="E15" s="58"/>
    </row>
    <row r="16" ht="14.25" customHeight="1">
      <c r="A16" s="79" t="s">
        <v>146</v>
      </c>
      <c r="B16" s="83" t="s">
        <v>148</v>
      </c>
      <c r="C16" s="85">
        <v>7900.0</v>
      </c>
      <c r="D16" s="88">
        <f t="shared" si="1"/>
        <v>7663</v>
      </c>
      <c r="E16" s="58"/>
    </row>
    <row r="17" ht="14.25" customHeight="1">
      <c r="A17" s="63" t="s">
        <v>150</v>
      </c>
      <c r="B17" s="55" t="s">
        <v>152</v>
      </c>
      <c r="C17" s="56">
        <v>6000.0</v>
      </c>
      <c r="D17" s="91">
        <f t="shared" si="1"/>
        <v>5820</v>
      </c>
      <c r="E17" s="58"/>
    </row>
    <row r="18" ht="14.25" customHeight="1">
      <c r="A18" s="79" t="s">
        <v>154</v>
      </c>
      <c r="B18" s="95" t="s">
        <v>155</v>
      </c>
      <c r="C18" s="96">
        <v>5000.0</v>
      </c>
      <c r="D18" s="88">
        <f t="shared" si="1"/>
        <v>4850</v>
      </c>
      <c r="E18" s="58"/>
    </row>
    <row r="19" ht="14.25" customHeight="1">
      <c r="A19" s="63" t="s">
        <v>159</v>
      </c>
      <c r="B19" s="55" t="s">
        <v>161</v>
      </c>
      <c r="C19" s="56">
        <v>5500.0</v>
      </c>
      <c r="D19" s="91">
        <f t="shared" si="1"/>
        <v>5335</v>
      </c>
      <c r="E19" s="58"/>
    </row>
    <row r="20" ht="14.25" customHeight="1">
      <c r="A20" s="79">
        <v>7110.0</v>
      </c>
      <c r="B20" s="95" t="s">
        <v>164</v>
      </c>
      <c r="C20" s="96">
        <v>6600.0</v>
      </c>
      <c r="D20" s="88">
        <f t="shared" si="1"/>
        <v>6402</v>
      </c>
      <c r="E20" s="58"/>
    </row>
    <row r="21" ht="14.25" customHeight="1">
      <c r="A21" s="63">
        <v>108966.0</v>
      </c>
      <c r="B21" s="67" t="s">
        <v>169</v>
      </c>
      <c r="C21" s="90">
        <v>5000.0</v>
      </c>
      <c r="D21" s="91">
        <f t="shared" si="1"/>
        <v>4850</v>
      </c>
      <c r="E21" s="58"/>
    </row>
    <row r="22" ht="14.25" customHeight="1">
      <c r="A22" s="79">
        <v>108980.0</v>
      </c>
      <c r="B22" s="83" t="s">
        <v>177</v>
      </c>
      <c r="C22" s="96">
        <v>5500.0</v>
      </c>
      <c r="D22" s="88">
        <f t="shared" si="1"/>
        <v>5335</v>
      </c>
      <c r="E22" s="58"/>
    </row>
    <row r="23" ht="14.25" customHeight="1">
      <c r="A23" s="63">
        <v>109017.0</v>
      </c>
      <c r="B23" s="67" t="s">
        <v>180</v>
      </c>
      <c r="C23" s="56">
        <v>6000.0</v>
      </c>
      <c r="D23" s="91">
        <f t="shared" si="1"/>
        <v>5820</v>
      </c>
      <c r="E23" s="58"/>
    </row>
    <row r="24" ht="14.25" customHeight="1">
      <c r="A24" s="79" t="s">
        <v>182</v>
      </c>
      <c r="B24" s="83" t="s">
        <v>183</v>
      </c>
      <c r="C24" s="85">
        <v>6900.0</v>
      </c>
      <c r="D24" s="88">
        <f t="shared" si="1"/>
        <v>6693</v>
      </c>
      <c r="E24" s="58"/>
    </row>
    <row r="25" ht="14.25" customHeight="1">
      <c r="A25" s="63">
        <v>9.357501782E9</v>
      </c>
      <c r="B25" s="67" t="s">
        <v>185</v>
      </c>
      <c r="C25" s="56">
        <v>6000.0</v>
      </c>
      <c r="D25" s="91">
        <f t="shared" si="1"/>
        <v>5820</v>
      </c>
      <c r="E25" s="58"/>
    </row>
    <row r="26" ht="14.25" customHeight="1">
      <c r="A26" s="79" t="s">
        <v>204</v>
      </c>
      <c r="B26" s="95" t="s">
        <v>208</v>
      </c>
      <c r="C26" s="96">
        <v>6500.0</v>
      </c>
      <c r="D26" s="88">
        <f t="shared" si="1"/>
        <v>6305</v>
      </c>
      <c r="E26" s="58"/>
    </row>
    <row r="27" ht="14.25" customHeight="1">
      <c r="A27" s="63">
        <v>109093.0</v>
      </c>
      <c r="B27" s="67" t="s">
        <v>213</v>
      </c>
      <c r="C27" s="56">
        <v>6600.0</v>
      </c>
      <c r="D27" s="91">
        <f t="shared" si="1"/>
        <v>6402</v>
      </c>
      <c r="E27" s="58"/>
    </row>
    <row r="28" ht="14.25" customHeight="1">
      <c r="A28" s="79" t="s">
        <v>216</v>
      </c>
      <c r="B28" s="95" t="s">
        <v>220</v>
      </c>
      <c r="C28" s="96">
        <v>6000.0</v>
      </c>
      <c r="D28" s="88">
        <f t="shared" si="1"/>
        <v>5820</v>
      </c>
      <c r="E28" s="58"/>
    </row>
    <row r="29" ht="14.25" customHeight="1">
      <c r="A29" s="63" t="s">
        <v>223</v>
      </c>
      <c r="B29" s="55" t="s">
        <v>227</v>
      </c>
      <c r="C29" s="56">
        <v>6500.0</v>
      </c>
      <c r="D29" s="91">
        <f t="shared" si="1"/>
        <v>6305</v>
      </c>
      <c r="E29" s="58"/>
    </row>
    <row r="30" ht="14.25" customHeight="1">
      <c r="A30" s="79" t="s">
        <v>232</v>
      </c>
      <c r="B30" s="95" t="s">
        <v>233</v>
      </c>
      <c r="C30" s="96">
        <v>6500.0</v>
      </c>
      <c r="D30" s="88">
        <f t="shared" si="1"/>
        <v>6305</v>
      </c>
      <c r="E30" s="58"/>
    </row>
    <row r="31" ht="14.25" customHeight="1">
      <c r="A31" s="63" t="s">
        <v>239</v>
      </c>
      <c r="B31" s="67" t="s">
        <v>241</v>
      </c>
      <c r="C31" s="56">
        <v>6500.0</v>
      </c>
      <c r="D31" s="91">
        <f t="shared" si="1"/>
        <v>6305</v>
      </c>
      <c r="E31" s="58"/>
    </row>
    <row r="32" ht="14.25" customHeight="1">
      <c r="A32" s="79" t="s">
        <v>245</v>
      </c>
      <c r="B32" s="83" t="s">
        <v>246</v>
      </c>
      <c r="C32" s="85">
        <v>6000.0</v>
      </c>
      <c r="D32" s="88">
        <f t="shared" si="1"/>
        <v>5820</v>
      </c>
      <c r="E32" s="58"/>
    </row>
    <row r="33" ht="14.25" customHeight="1">
      <c r="A33" s="63" t="s">
        <v>249</v>
      </c>
      <c r="B33" s="55" t="s">
        <v>251</v>
      </c>
      <c r="C33" s="56">
        <v>6000.0</v>
      </c>
      <c r="D33" s="91">
        <f t="shared" si="1"/>
        <v>5820</v>
      </c>
      <c r="E33" s="58"/>
    </row>
    <row r="34" ht="14.25" customHeight="1">
      <c r="A34" s="79"/>
      <c r="B34" s="95" t="s">
        <v>255</v>
      </c>
      <c r="C34" s="96">
        <v>6000.0</v>
      </c>
      <c r="D34" s="88">
        <f t="shared" si="1"/>
        <v>5820</v>
      </c>
      <c r="E34" s="58"/>
    </row>
    <row r="35" ht="14.25" customHeight="1">
      <c r="A35" s="63">
        <v>109253.0</v>
      </c>
      <c r="B35" s="67" t="s">
        <v>259</v>
      </c>
      <c r="C35" s="56">
        <v>6000.0</v>
      </c>
      <c r="D35" s="91">
        <f t="shared" si="1"/>
        <v>5820</v>
      </c>
      <c r="E35" s="58"/>
    </row>
    <row r="36" ht="14.25" customHeight="1">
      <c r="A36" s="79" t="s">
        <v>263</v>
      </c>
      <c r="B36" s="95" t="s">
        <v>265</v>
      </c>
      <c r="C36" s="96">
        <v>6500.0</v>
      </c>
      <c r="D36" s="88">
        <f t="shared" si="1"/>
        <v>6305</v>
      </c>
      <c r="E36" s="58"/>
    </row>
    <row r="37" ht="14.25" customHeight="1">
      <c r="A37" s="63" t="s">
        <v>270</v>
      </c>
      <c r="B37" s="55" t="s">
        <v>273</v>
      </c>
      <c r="C37" s="56">
        <v>7500.0</v>
      </c>
      <c r="D37" s="91">
        <f t="shared" si="1"/>
        <v>7275</v>
      </c>
      <c r="E37" s="58"/>
    </row>
    <row r="38" ht="14.25" customHeight="1">
      <c r="A38" s="79"/>
      <c r="B38" s="83" t="s">
        <v>275</v>
      </c>
      <c r="C38" s="85">
        <v>5500.0</v>
      </c>
      <c r="D38" s="88">
        <f t="shared" si="1"/>
        <v>5335</v>
      </c>
      <c r="E38" s="58"/>
    </row>
    <row r="39" ht="14.25" customHeight="1">
      <c r="A39" s="63"/>
      <c r="B39" s="67" t="s">
        <v>280</v>
      </c>
      <c r="C39" s="56">
        <v>7500.0</v>
      </c>
      <c r="D39" s="91">
        <f t="shared" si="1"/>
        <v>7275</v>
      </c>
      <c r="E39" s="58"/>
    </row>
    <row r="40" ht="14.25" customHeight="1">
      <c r="A40" s="79"/>
      <c r="B40" s="83" t="s">
        <v>284</v>
      </c>
      <c r="C40" s="96">
        <v>8000.0</v>
      </c>
      <c r="D40" s="88">
        <f t="shared" si="1"/>
        <v>7760</v>
      </c>
      <c r="E40" s="58"/>
    </row>
    <row r="41" ht="14.25" customHeight="1">
      <c r="A41" s="63"/>
      <c r="B41" s="67" t="s">
        <v>289</v>
      </c>
      <c r="C41" s="56">
        <v>6500.0</v>
      </c>
      <c r="D41" s="91">
        <f t="shared" si="1"/>
        <v>6305</v>
      </c>
      <c r="E41" s="58"/>
    </row>
    <row r="42" ht="14.25" customHeight="1">
      <c r="A42" s="79"/>
      <c r="B42" s="83" t="s">
        <v>292</v>
      </c>
      <c r="C42" s="85">
        <v>6500.0</v>
      </c>
      <c r="D42" s="88">
        <f t="shared" si="1"/>
        <v>6305</v>
      </c>
      <c r="E42" s="58"/>
    </row>
    <row r="43" ht="14.25" customHeight="1">
      <c r="A43" s="63"/>
      <c r="B43" s="67" t="s">
        <v>296</v>
      </c>
      <c r="C43" s="90">
        <v>6800.0</v>
      </c>
      <c r="D43" s="91">
        <f t="shared" si="1"/>
        <v>6596</v>
      </c>
      <c r="E43" s="58"/>
    </row>
    <row r="44" ht="14.25" customHeight="1">
      <c r="A44" s="79"/>
      <c r="B44" s="83" t="s">
        <v>302</v>
      </c>
      <c r="C44" s="85">
        <v>8000.0</v>
      </c>
      <c r="D44" s="88">
        <f t="shared" si="1"/>
        <v>7760</v>
      </c>
      <c r="E44" s="58"/>
    </row>
    <row r="45" ht="14.25" customHeight="1">
      <c r="A45" s="63"/>
      <c r="B45" s="67" t="s">
        <v>307</v>
      </c>
      <c r="C45" s="56">
        <v>8000.0</v>
      </c>
      <c r="D45" s="91">
        <f t="shared" si="1"/>
        <v>7760</v>
      </c>
      <c r="E45" s="58"/>
    </row>
    <row r="46" ht="14.25" customHeight="1">
      <c r="A46" s="79"/>
      <c r="B46" s="83" t="s">
        <v>312</v>
      </c>
      <c r="C46" s="96">
        <v>6000.0</v>
      </c>
      <c r="D46" s="88">
        <f t="shared" si="1"/>
        <v>5820</v>
      </c>
      <c r="E46" s="58"/>
    </row>
    <row r="47" ht="14.25" customHeight="1">
      <c r="A47" s="63"/>
      <c r="B47" s="67" t="s">
        <v>317</v>
      </c>
      <c r="C47" s="56">
        <v>7000.0</v>
      </c>
      <c r="D47" s="91">
        <f t="shared" si="1"/>
        <v>6790</v>
      </c>
      <c r="E47" s="58"/>
    </row>
    <row r="48" ht="14.25" customHeight="1">
      <c r="A48" s="79"/>
      <c r="B48" s="83" t="s">
        <v>322</v>
      </c>
      <c r="C48" s="96">
        <v>7000.0</v>
      </c>
      <c r="D48" s="88">
        <f t="shared" si="1"/>
        <v>6790</v>
      </c>
      <c r="E48" s="58"/>
    </row>
    <row r="49" ht="14.25" customHeight="1">
      <c r="A49" s="63"/>
      <c r="B49" s="67" t="s">
        <v>328</v>
      </c>
      <c r="C49" s="56">
        <v>7000.0</v>
      </c>
      <c r="D49" s="91">
        <f t="shared" si="1"/>
        <v>6790</v>
      </c>
      <c r="E49" s="58"/>
    </row>
    <row r="50" ht="14.25" customHeight="1">
      <c r="A50" s="79"/>
      <c r="B50" s="83" t="s">
        <v>334</v>
      </c>
      <c r="C50" s="96">
        <v>7000.0</v>
      </c>
      <c r="D50" s="88">
        <f t="shared" si="1"/>
        <v>6790</v>
      </c>
      <c r="E50" s="58"/>
    </row>
    <row r="51" ht="14.25" customHeight="1">
      <c r="A51" s="63"/>
      <c r="B51" s="67" t="s">
        <v>339</v>
      </c>
      <c r="C51" s="56">
        <v>7000.0</v>
      </c>
      <c r="D51" s="91">
        <f t="shared" si="1"/>
        <v>6790</v>
      </c>
      <c r="E51" s="58"/>
    </row>
    <row r="52" ht="14.25" customHeight="1">
      <c r="A52" s="79"/>
      <c r="B52" s="95" t="s">
        <v>344</v>
      </c>
      <c r="C52" s="96">
        <v>7000.0</v>
      </c>
      <c r="D52" s="88">
        <f t="shared" si="1"/>
        <v>6790</v>
      </c>
      <c r="E52" s="58"/>
    </row>
    <row r="53" ht="14.25" customHeight="1">
      <c r="A53" s="63"/>
      <c r="B53" s="55" t="s">
        <v>348</v>
      </c>
      <c r="C53" s="56">
        <v>7000.0</v>
      </c>
      <c r="D53" s="91">
        <f t="shared" si="1"/>
        <v>6790</v>
      </c>
      <c r="E53" s="58"/>
    </row>
    <row r="54" ht="14.25" customHeight="1">
      <c r="A54" s="79"/>
      <c r="B54" s="95" t="s">
        <v>355</v>
      </c>
      <c r="C54" s="96">
        <v>7000.0</v>
      </c>
      <c r="D54" s="88">
        <f t="shared" si="1"/>
        <v>6790</v>
      </c>
      <c r="E54" s="58"/>
    </row>
    <row r="55" ht="14.25" customHeight="1">
      <c r="A55" s="63"/>
      <c r="B55" s="55" t="s">
        <v>359</v>
      </c>
      <c r="C55" s="56">
        <v>8500.0</v>
      </c>
      <c r="D55" s="91">
        <f t="shared" si="1"/>
        <v>8245</v>
      </c>
      <c r="E55" s="58"/>
    </row>
    <row r="56" ht="14.25" customHeight="1">
      <c r="A56" s="79"/>
      <c r="B56" s="95" t="s">
        <v>365</v>
      </c>
      <c r="C56" s="96">
        <v>6500.0</v>
      </c>
      <c r="D56" s="88">
        <f t="shared" si="1"/>
        <v>6305</v>
      </c>
      <c r="E56" s="58"/>
    </row>
    <row r="57" ht="14.25" customHeight="1">
      <c r="A57" s="63"/>
      <c r="B57" s="55" t="s">
        <v>370</v>
      </c>
      <c r="C57" s="56">
        <v>9000.0</v>
      </c>
      <c r="D57" s="91">
        <f t="shared" si="1"/>
        <v>8730</v>
      </c>
      <c r="E57" s="58"/>
    </row>
    <row r="58" ht="14.25" customHeight="1">
      <c r="A58" s="79"/>
      <c r="B58" s="83" t="s">
        <v>375</v>
      </c>
      <c r="C58" s="85">
        <v>12600.0</v>
      </c>
      <c r="D58" s="88">
        <f t="shared" si="1"/>
        <v>12222</v>
      </c>
      <c r="E58" s="58"/>
    </row>
    <row r="59" ht="14.25" customHeight="1">
      <c r="A59" s="63"/>
      <c r="B59" s="67" t="s">
        <v>381</v>
      </c>
      <c r="C59" s="90">
        <v>9600.0</v>
      </c>
      <c r="D59" s="91">
        <f t="shared" si="1"/>
        <v>9312</v>
      </c>
      <c r="E59" s="58"/>
    </row>
    <row r="60" ht="14.25" customHeight="1">
      <c r="A60" s="79"/>
      <c r="B60" s="83" t="s">
        <v>384</v>
      </c>
      <c r="C60" s="96">
        <v>12900.0</v>
      </c>
      <c r="D60" s="88">
        <f t="shared" si="1"/>
        <v>12513</v>
      </c>
      <c r="E60" s="58"/>
    </row>
    <row r="61" ht="14.25" customHeight="1">
      <c r="A61" s="63"/>
      <c r="B61" s="55" t="s">
        <v>386</v>
      </c>
      <c r="C61" s="56">
        <v>12900.0</v>
      </c>
      <c r="D61" s="91">
        <f t="shared" si="1"/>
        <v>12513</v>
      </c>
      <c r="E61" s="58"/>
    </row>
    <row r="62" ht="14.25" customHeight="1">
      <c r="A62" s="79"/>
      <c r="B62" s="95" t="s">
        <v>388</v>
      </c>
      <c r="C62" s="96">
        <v>12900.0</v>
      </c>
      <c r="D62" s="88">
        <f t="shared" si="1"/>
        <v>12513</v>
      </c>
      <c r="E62" s="58"/>
    </row>
    <row r="63" ht="14.25" customHeight="1">
      <c r="A63" s="63"/>
      <c r="B63" s="55" t="s">
        <v>390</v>
      </c>
      <c r="C63" s="56">
        <v>31000.0</v>
      </c>
      <c r="D63" s="91">
        <f t="shared" si="1"/>
        <v>30070</v>
      </c>
      <c r="E63" s="58"/>
    </row>
    <row r="64" ht="14.25" customHeight="1">
      <c r="A64" s="79"/>
      <c r="B64" s="95" t="s">
        <v>395</v>
      </c>
      <c r="C64" s="96">
        <v>31000.0</v>
      </c>
      <c r="D64" s="88">
        <f t="shared" si="1"/>
        <v>30070</v>
      </c>
      <c r="E64" s="58"/>
    </row>
    <row r="65" ht="63.75" customHeight="1">
      <c r="A65" s="128"/>
      <c r="B65" s="129" t="s">
        <v>136</v>
      </c>
      <c r="C65" s="100"/>
      <c r="D65" s="101"/>
      <c r="E65" s="58"/>
    </row>
    <row r="66" ht="14.25" customHeight="1">
      <c r="A66" s="130"/>
      <c r="B66" s="67" t="s">
        <v>414</v>
      </c>
      <c r="C66" s="56">
        <v>7500.0</v>
      </c>
      <c r="D66" s="91">
        <f t="shared" ref="D66:D110" si="2">C66*0.97</f>
        <v>7275</v>
      </c>
      <c r="E66" s="58"/>
    </row>
    <row r="67" ht="14.25" customHeight="1">
      <c r="A67" s="132"/>
      <c r="B67" s="133" t="s">
        <v>428</v>
      </c>
      <c r="C67" s="134">
        <v>7500.0</v>
      </c>
      <c r="D67" s="140">
        <f t="shared" si="2"/>
        <v>7275</v>
      </c>
      <c r="E67" s="58"/>
    </row>
    <row r="68" ht="14.25" customHeight="1">
      <c r="A68" s="54"/>
      <c r="B68" s="55" t="s">
        <v>458</v>
      </c>
      <c r="C68" s="56">
        <v>6500.0</v>
      </c>
      <c r="D68" s="91">
        <f t="shared" si="2"/>
        <v>6305</v>
      </c>
      <c r="E68" s="58"/>
    </row>
    <row r="69" ht="14.25" customHeight="1">
      <c r="A69" s="141"/>
      <c r="B69" s="142" t="s">
        <v>463</v>
      </c>
      <c r="C69" s="134">
        <v>6500.0</v>
      </c>
      <c r="D69" s="140">
        <f t="shared" si="2"/>
        <v>6305</v>
      </c>
      <c r="E69" s="58"/>
    </row>
    <row r="70" ht="14.25" customHeight="1">
      <c r="A70" s="54"/>
      <c r="B70" s="55" t="s">
        <v>466</v>
      </c>
      <c r="C70" s="56">
        <v>6500.0</v>
      </c>
      <c r="D70" s="91">
        <f t="shared" si="2"/>
        <v>6305</v>
      </c>
      <c r="E70" s="58"/>
    </row>
    <row r="71" ht="14.25" customHeight="1">
      <c r="A71" s="132"/>
      <c r="B71" s="133" t="s">
        <v>468</v>
      </c>
      <c r="C71" s="134">
        <v>6500.0</v>
      </c>
      <c r="D71" s="140">
        <f t="shared" si="2"/>
        <v>6305</v>
      </c>
      <c r="E71" s="58"/>
    </row>
    <row r="72" ht="14.25" customHeight="1">
      <c r="A72" s="54"/>
      <c r="B72" s="55" t="s">
        <v>472</v>
      </c>
      <c r="C72" s="56">
        <v>6500.0</v>
      </c>
      <c r="D72" s="91">
        <f t="shared" si="2"/>
        <v>6305</v>
      </c>
      <c r="E72" s="58"/>
    </row>
    <row r="73" ht="14.25" customHeight="1">
      <c r="A73" s="141"/>
      <c r="B73" s="142" t="s">
        <v>474</v>
      </c>
      <c r="C73" s="134">
        <v>6000.0</v>
      </c>
      <c r="D73" s="140">
        <f t="shared" si="2"/>
        <v>5820</v>
      </c>
      <c r="E73" s="58"/>
    </row>
    <row r="74" ht="14.25" customHeight="1">
      <c r="A74" s="130"/>
      <c r="B74" s="67" t="s">
        <v>476</v>
      </c>
      <c r="C74" s="56">
        <v>6500.0</v>
      </c>
      <c r="D74" s="91">
        <f t="shared" si="2"/>
        <v>6305</v>
      </c>
      <c r="E74" s="58"/>
    </row>
    <row r="75" ht="14.25" customHeight="1">
      <c r="A75" s="141"/>
      <c r="B75" s="142" t="s">
        <v>479</v>
      </c>
      <c r="C75" s="134">
        <v>7500.0</v>
      </c>
      <c r="D75" s="140">
        <f t="shared" si="2"/>
        <v>7275</v>
      </c>
      <c r="E75" s="58"/>
    </row>
    <row r="76" ht="14.25" customHeight="1">
      <c r="A76" s="130"/>
      <c r="B76" s="67" t="s">
        <v>480</v>
      </c>
      <c r="C76" s="90">
        <v>6000.0</v>
      </c>
      <c r="D76" s="91">
        <f t="shared" si="2"/>
        <v>5820</v>
      </c>
      <c r="E76" s="58"/>
    </row>
    <row r="77" ht="14.25" customHeight="1">
      <c r="A77" s="141"/>
      <c r="B77" s="142" t="s">
        <v>481</v>
      </c>
      <c r="C77" s="143">
        <v>6000.0</v>
      </c>
      <c r="D77" s="140">
        <f t="shared" si="2"/>
        <v>5820</v>
      </c>
      <c r="E77" s="58"/>
    </row>
    <row r="78" ht="14.25" customHeight="1">
      <c r="A78" s="130"/>
      <c r="B78" s="67" t="s">
        <v>485</v>
      </c>
      <c r="C78" s="56">
        <v>8500.0</v>
      </c>
      <c r="D78" s="91">
        <f t="shared" si="2"/>
        <v>8245</v>
      </c>
      <c r="E78" s="58"/>
    </row>
    <row r="79" ht="14.25" customHeight="1">
      <c r="A79" s="132"/>
      <c r="B79" s="133" t="s">
        <v>488</v>
      </c>
      <c r="C79" s="134">
        <v>6000.0</v>
      </c>
      <c r="D79" s="140">
        <f t="shared" si="2"/>
        <v>5820</v>
      </c>
      <c r="E79" s="58"/>
    </row>
    <row r="80" ht="14.25" customHeight="1">
      <c r="A80" s="54"/>
      <c r="B80" s="55" t="s">
        <v>491</v>
      </c>
      <c r="C80" s="56">
        <v>6500.0</v>
      </c>
      <c r="D80" s="91">
        <f t="shared" si="2"/>
        <v>6305</v>
      </c>
      <c r="E80" s="58"/>
    </row>
    <row r="81" ht="14.25" customHeight="1">
      <c r="A81" s="132"/>
      <c r="B81" s="133" t="s">
        <v>493</v>
      </c>
      <c r="C81" s="134">
        <v>6000.0</v>
      </c>
      <c r="D81" s="140">
        <f t="shared" si="2"/>
        <v>5820</v>
      </c>
      <c r="E81" s="58"/>
    </row>
    <row r="82" ht="14.25" customHeight="1">
      <c r="A82" s="54"/>
      <c r="B82" s="55" t="s">
        <v>497</v>
      </c>
      <c r="C82" s="56">
        <v>6700.0</v>
      </c>
      <c r="D82" s="91">
        <f t="shared" si="2"/>
        <v>6499</v>
      </c>
      <c r="E82" s="58"/>
    </row>
    <row r="83" ht="14.25" customHeight="1">
      <c r="A83" s="132"/>
      <c r="B83" s="133" t="s">
        <v>500</v>
      </c>
      <c r="C83" s="134">
        <v>6000.0</v>
      </c>
      <c r="D83" s="140">
        <f t="shared" si="2"/>
        <v>5820</v>
      </c>
      <c r="E83" s="58"/>
    </row>
    <row r="84" ht="14.25" customHeight="1">
      <c r="A84" s="130"/>
      <c r="B84" s="67" t="s">
        <v>504</v>
      </c>
      <c r="C84" s="90">
        <v>7600.0</v>
      </c>
      <c r="D84" s="91">
        <f t="shared" si="2"/>
        <v>7372</v>
      </c>
      <c r="E84" s="58"/>
    </row>
    <row r="85" ht="14.25" customHeight="1">
      <c r="A85" s="141"/>
      <c r="B85" s="142" t="s">
        <v>507</v>
      </c>
      <c r="C85" s="143">
        <v>9900.0</v>
      </c>
      <c r="D85" s="140">
        <f t="shared" si="2"/>
        <v>9603</v>
      </c>
      <c r="E85" s="58"/>
    </row>
    <row r="86" ht="14.25" customHeight="1">
      <c r="A86" s="130"/>
      <c r="B86" s="67" t="s">
        <v>512</v>
      </c>
      <c r="C86" s="56">
        <v>6500.0</v>
      </c>
      <c r="D86" s="91">
        <f t="shared" si="2"/>
        <v>6305</v>
      </c>
      <c r="E86" s="58"/>
    </row>
    <row r="87" ht="14.25" customHeight="1">
      <c r="A87" s="141"/>
      <c r="B87" s="142" t="s">
        <v>513</v>
      </c>
      <c r="C87" s="134">
        <v>8500.0</v>
      </c>
      <c r="D87" s="140">
        <f t="shared" si="2"/>
        <v>8245</v>
      </c>
      <c r="E87" s="58"/>
    </row>
    <row r="88" ht="14.25" customHeight="1">
      <c r="A88" s="54"/>
      <c r="B88" s="55" t="s">
        <v>518</v>
      </c>
      <c r="C88" s="56">
        <v>8500.0</v>
      </c>
      <c r="D88" s="91">
        <f t="shared" si="2"/>
        <v>8245</v>
      </c>
      <c r="E88" s="58"/>
    </row>
    <row r="89" ht="14.25" customHeight="1">
      <c r="A89" s="132"/>
      <c r="B89" s="133" t="s">
        <v>512</v>
      </c>
      <c r="C89" s="134">
        <v>6500.0</v>
      </c>
      <c r="D89" s="140">
        <f t="shared" si="2"/>
        <v>6305</v>
      </c>
      <c r="E89" s="58"/>
    </row>
    <row r="90" ht="14.25" customHeight="1">
      <c r="A90" s="130"/>
      <c r="B90" s="67" t="s">
        <v>524</v>
      </c>
      <c r="C90" s="56">
        <v>6500.0</v>
      </c>
      <c r="D90" s="91">
        <f t="shared" si="2"/>
        <v>6305</v>
      </c>
      <c r="E90" s="58"/>
    </row>
    <row r="91" ht="14.25" customHeight="1">
      <c r="A91" s="141"/>
      <c r="B91" s="142" t="s">
        <v>530</v>
      </c>
      <c r="C91" s="143">
        <v>6000.0</v>
      </c>
      <c r="D91" s="140">
        <f t="shared" si="2"/>
        <v>5820</v>
      </c>
      <c r="E91" s="58"/>
    </row>
    <row r="92" ht="14.25" customHeight="1">
      <c r="A92" s="54"/>
      <c r="B92" s="55" t="s">
        <v>535</v>
      </c>
      <c r="C92" s="56">
        <v>7500.0</v>
      </c>
      <c r="D92" s="91">
        <f t="shared" si="2"/>
        <v>7275</v>
      </c>
      <c r="E92" s="58"/>
    </row>
    <row r="93" ht="14.25" customHeight="1">
      <c r="A93" s="141"/>
      <c r="B93" s="142" t="s">
        <v>539</v>
      </c>
      <c r="C93" s="134">
        <v>6500.0</v>
      </c>
      <c r="D93" s="140">
        <f t="shared" si="2"/>
        <v>6305</v>
      </c>
      <c r="E93" s="58"/>
    </row>
    <row r="94" ht="14.25" customHeight="1">
      <c r="A94" s="54"/>
      <c r="B94" s="55" t="s">
        <v>541</v>
      </c>
      <c r="C94" s="56">
        <v>6500.0</v>
      </c>
      <c r="D94" s="91">
        <f t="shared" si="2"/>
        <v>6305</v>
      </c>
      <c r="E94" s="58"/>
    </row>
    <row r="95" ht="14.25" customHeight="1">
      <c r="A95" s="132"/>
      <c r="B95" s="133" t="s">
        <v>545</v>
      </c>
      <c r="C95" s="134">
        <v>7500.0</v>
      </c>
      <c r="D95" s="140">
        <f t="shared" si="2"/>
        <v>7275</v>
      </c>
      <c r="E95" s="58"/>
    </row>
    <row r="96" ht="14.25" customHeight="1">
      <c r="A96" s="130"/>
      <c r="B96" s="67" t="s">
        <v>553</v>
      </c>
      <c r="C96" s="56">
        <v>7500.0</v>
      </c>
      <c r="D96" s="91">
        <f t="shared" si="2"/>
        <v>7275</v>
      </c>
      <c r="E96" s="58"/>
    </row>
    <row r="97" ht="14.25" customHeight="1">
      <c r="A97" s="132"/>
      <c r="B97" s="133" t="s">
        <v>557</v>
      </c>
      <c r="C97" s="134">
        <v>8200.0</v>
      </c>
      <c r="D97" s="140">
        <f t="shared" si="2"/>
        <v>7954</v>
      </c>
      <c r="E97" s="58"/>
    </row>
    <row r="98" ht="14.25" customHeight="1">
      <c r="A98" s="130"/>
      <c r="B98" s="67" t="s">
        <v>561</v>
      </c>
      <c r="C98" s="90">
        <v>5500.0</v>
      </c>
      <c r="D98" s="91">
        <f t="shared" si="2"/>
        <v>5335</v>
      </c>
      <c r="E98" s="58"/>
    </row>
    <row r="99" ht="14.25" customHeight="1">
      <c r="A99" s="141"/>
      <c r="B99" s="142" t="s">
        <v>564</v>
      </c>
      <c r="C99" s="143">
        <v>5000.0</v>
      </c>
      <c r="D99" s="140">
        <f t="shared" si="2"/>
        <v>4850</v>
      </c>
      <c r="E99" s="58"/>
      <c r="H99" s="161"/>
    </row>
    <row r="100" ht="14.25" customHeight="1">
      <c r="A100" s="130"/>
      <c r="B100" s="67" t="s">
        <v>597</v>
      </c>
      <c r="C100" s="90">
        <v>5500.0</v>
      </c>
      <c r="D100" s="91">
        <f t="shared" si="2"/>
        <v>5335</v>
      </c>
      <c r="E100" s="58"/>
    </row>
    <row r="101" ht="14.25" customHeight="1">
      <c r="A101" s="132"/>
      <c r="B101" s="133" t="s">
        <v>602</v>
      </c>
      <c r="C101" s="134">
        <v>6500.0</v>
      </c>
      <c r="D101" s="140">
        <f t="shared" si="2"/>
        <v>6305</v>
      </c>
      <c r="E101" s="58"/>
    </row>
    <row r="102" ht="14.25" customHeight="1">
      <c r="A102" s="130"/>
      <c r="B102" s="67" t="s">
        <v>605</v>
      </c>
      <c r="C102" s="56">
        <v>6500.0</v>
      </c>
      <c r="D102" s="91">
        <f t="shared" si="2"/>
        <v>6305</v>
      </c>
      <c r="E102" s="58"/>
    </row>
    <row r="103" ht="14.25" customHeight="1">
      <c r="A103" s="141"/>
      <c r="B103" s="142" t="s">
        <v>609</v>
      </c>
      <c r="C103" s="134">
        <v>7500.0</v>
      </c>
      <c r="D103" s="140">
        <f t="shared" si="2"/>
        <v>7275</v>
      </c>
      <c r="E103" s="58"/>
    </row>
    <row r="104" ht="14.25" customHeight="1">
      <c r="A104" s="130"/>
      <c r="B104" s="67" t="s">
        <v>612</v>
      </c>
      <c r="C104" s="56">
        <v>6000.0</v>
      </c>
      <c r="D104" s="91">
        <f t="shared" si="2"/>
        <v>5820</v>
      </c>
      <c r="E104" s="58"/>
    </row>
    <row r="105" ht="14.25" customHeight="1">
      <c r="A105" s="132"/>
      <c r="B105" s="133" t="s">
        <v>615</v>
      </c>
      <c r="C105" s="134">
        <v>6000.0</v>
      </c>
      <c r="D105" s="140">
        <f t="shared" si="2"/>
        <v>5820</v>
      </c>
      <c r="E105" s="58"/>
    </row>
    <row r="106" ht="14.25" customHeight="1">
      <c r="A106" s="54"/>
      <c r="B106" s="55" t="s">
        <v>619</v>
      </c>
      <c r="C106" s="56">
        <v>7600.0</v>
      </c>
      <c r="D106" s="91">
        <f t="shared" si="2"/>
        <v>7372</v>
      </c>
      <c r="E106" s="58"/>
    </row>
    <row r="107" ht="14.25" customHeight="1">
      <c r="A107" s="132"/>
      <c r="B107" s="133" t="s">
        <v>621</v>
      </c>
      <c r="C107" s="134">
        <v>7500.0</v>
      </c>
      <c r="D107" s="140">
        <f t="shared" si="2"/>
        <v>7275</v>
      </c>
      <c r="E107" s="58"/>
    </row>
    <row r="108" ht="14.25" customHeight="1">
      <c r="A108" s="54"/>
      <c r="B108" s="55" t="s">
        <v>623</v>
      </c>
      <c r="C108" s="56">
        <v>7300.0</v>
      </c>
      <c r="D108" s="91">
        <f t="shared" si="2"/>
        <v>7081</v>
      </c>
      <c r="E108" s="58"/>
    </row>
    <row r="109" ht="14.25" customHeight="1">
      <c r="A109" s="132"/>
      <c r="B109" s="133" t="s">
        <v>627</v>
      </c>
      <c r="C109" s="134">
        <v>7300.0</v>
      </c>
      <c r="D109" s="140">
        <f t="shared" si="2"/>
        <v>7081</v>
      </c>
      <c r="E109" s="58"/>
    </row>
    <row r="110" ht="14.25" customHeight="1">
      <c r="A110" s="54"/>
      <c r="B110" s="55" t="s">
        <v>629</v>
      </c>
      <c r="C110" s="56">
        <v>7300.0</v>
      </c>
      <c r="D110" s="91">
        <f t="shared" si="2"/>
        <v>7081</v>
      </c>
      <c r="E110" s="58"/>
    </row>
    <row r="111" ht="52.5" customHeight="1">
      <c r="A111" s="170"/>
      <c r="B111" s="171" t="s">
        <v>636</v>
      </c>
      <c r="C111" s="172"/>
      <c r="D111" s="173"/>
      <c r="E111" s="58"/>
    </row>
    <row r="112" ht="17.25" customHeight="1">
      <c r="A112" s="130"/>
      <c r="B112" s="67" t="s">
        <v>643</v>
      </c>
      <c r="C112" s="56">
        <v>5500.0</v>
      </c>
      <c r="D112" s="91">
        <f t="shared" ref="D112:D143" si="3">C112*0.97</f>
        <v>5335</v>
      </c>
      <c r="E112" s="58"/>
    </row>
    <row r="113" ht="17.25" customHeight="1">
      <c r="A113" s="179"/>
      <c r="B113" s="181" t="s">
        <v>687</v>
      </c>
      <c r="C113" s="183">
        <v>5500.0</v>
      </c>
      <c r="D113" s="184">
        <f t="shared" si="3"/>
        <v>5335</v>
      </c>
      <c r="E113" s="58"/>
    </row>
    <row r="114" ht="17.25" customHeight="1">
      <c r="A114" s="54"/>
      <c r="B114" s="55" t="s">
        <v>707</v>
      </c>
      <c r="C114" s="56">
        <v>5500.0</v>
      </c>
      <c r="D114" s="91">
        <f t="shared" si="3"/>
        <v>5335</v>
      </c>
      <c r="E114" s="58"/>
    </row>
    <row r="115" ht="17.25" customHeight="1">
      <c r="A115" s="179"/>
      <c r="B115" s="181" t="s">
        <v>710</v>
      </c>
      <c r="C115" s="183">
        <v>5500.0</v>
      </c>
      <c r="D115" s="184">
        <f t="shared" si="3"/>
        <v>5335</v>
      </c>
      <c r="E115" s="58"/>
    </row>
    <row r="116" ht="17.25" customHeight="1">
      <c r="A116" s="130"/>
      <c r="B116" s="67" t="s">
        <v>712</v>
      </c>
      <c r="C116" s="56">
        <v>6300.0</v>
      </c>
      <c r="D116" s="91">
        <f t="shared" si="3"/>
        <v>6111</v>
      </c>
      <c r="E116" s="58"/>
    </row>
    <row r="117" ht="13.5" customHeight="1">
      <c r="A117" s="179"/>
      <c r="B117" s="181" t="s">
        <v>715</v>
      </c>
      <c r="C117" s="183">
        <v>6300.0</v>
      </c>
      <c r="D117" s="184">
        <f t="shared" si="3"/>
        <v>6111</v>
      </c>
      <c r="E117" s="58"/>
    </row>
    <row r="118" ht="14.25" customHeight="1">
      <c r="A118" s="130"/>
      <c r="B118" s="67" t="s">
        <v>717</v>
      </c>
      <c r="C118" s="56">
        <v>6500.0</v>
      </c>
      <c r="D118" s="91">
        <f t="shared" si="3"/>
        <v>6305</v>
      </c>
      <c r="E118" s="58"/>
    </row>
    <row r="119" ht="14.25" customHeight="1">
      <c r="A119" s="179"/>
      <c r="B119" s="181" t="s">
        <v>719</v>
      </c>
      <c r="C119" s="183">
        <v>6500.0</v>
      </c>
      <c r="D119" s="184">
        <f t="shared" si="3"/>
        <v>6305</v>
      </c>
      <c r="E119" s="58"/>
    </row>
    <row r="120" ht="14.25" customHeight="1">
      <c r="A120" s="54"/>
      <c r="B120" s="55" t="s">
        <v>720</v>
      </c>
      <c r="C120" s="56">
        <v>6500.0</v>
      </c>
      <c r="D120" s="91">
        <f t="shared" si="3"/>
        <v>6305</v>
      </c>
      <c r="E120" s="58"/>
    </row>
    <row r="121" ht="14.25" customHeight="1">
      <c r="A121" s="179"/>
      <c r="B121" s="181" t="s">
        <v>723</v>
      </c>
      <c r="C121" s="183">
        <v>7200.0</v>
      </c>
      <c r="D121" s="184">
        <f t="shared" si="3"/>
        <v>6984</v>
      </c>
      <c r="E121" s="58"/>
    </row>
    <row r="122" ht="14.25" customHeight="1">
      <c r="A122" s="54"/>
      <c r="B122" s="55" t="s">
        <v>725</v>
      </c>
      <c r="C122" s="56">
        <v>6500.0</v>
      </c>
      <c r="D122" s="91">
        <f t="shared" si="3"/>
        <v>6305</v>
      </c>
      <c r="E122" s="58"/>
    </row>
    <row r="123" ht="14.25" customHeight="1">
      <c r="A123" s="179"/>
      <c r="B123" s="181" t="s">
        <v>728</v>
      </c>
      <c r="C123" s="183">
        <v>7000.0</v>
      </c>
      <c r="D123" s="184">
        <f t="shared" si="3"/>
        <v>6790</v>
      </c>
      <c r="E123" s="58"/>
    </row>
    <row r="124" ht="14.25" customHeight="1">
      <c r="A124" s="130"/>
      <c r="B124" s="67" t="s">
        <v>730</v>
      </c>
      <c r="C124" s="56">
        <v>7000.0</v>
      </c>
      <c r="D124" s="91">
        <f t="shared" si="3"/>
        <v>6790</v>
      </c>
      <c r="E124" s="58"/>
    </row>
    <row r="125" ht="14.25" customHeight="1">
      <c r="A125" s="179"/>
      <c r="B125" s="181" t="s">
        <v>733</v>
      </c>
      <c r="C125" s="183">
        <v>7000.0</v>
      </c>
      <c r="D125" s="184">
        <f t="shared" si="3"/>
        <v>6790</v>
      </c>
      <c r="E125" s="58"/>
    </row>
    <row r="126" ht="14.25" customHeight="1">
      <c r="A126" s="130"/>
      <c r="B126" s="67" t="s">
        <v>737</v>
      </c>
      <c r="C126" s="56">
        <v>7900.0</v>
      </c>
      <c r="D126" s="91">
        <f t="shared" si="3"/>
        <v>7663</v>
      </c>
      <c r="E126" s="58"/>
    </row>
    <row r="127" ht="14.25" customHeight="1">
      <c r="A127" s="179"/>
      <c r="B127" s="181" t="s">
        <v>740</v>
      </c>
      <c r="C127" s="183">
        <v>8500.0</v>
      </c>
      <c r="D127" s="184">
        <f t="shared" si="3"/>
        <v>8245</v>
      </c>
      <c r="E127" s="58"/>
    </row>
    <row r="128" ht="14.25" customHeight="1">
      <c r="A128" s="130"/>
      <c r="B128" s="67" t="s">
        <v>745</v>
      </c>
      <c r="C128" s="56">
        <v>6900.0</v>
      </c>
      <c r="D128" s="91">
        <f t="shared" si="3"/>
        <v>6693</v>
      </c>
      <c r="E128" s="58"/>
    </row>
    <row r="129" ht="14.25" customHeight="1">
      <c r="A129" s="191"/>
      <c r="B129" s="192" t="s">
        <v>755</v>
      </c>
      <c r="C129" s="183">
        <v>17000.0</v>
      </c>
      <c r="D129" s="184">
        <f t="shared" si="3"/>
        <v>16490</v>
      </c>
      <c r="E129" s="58"/>
    </row>
    <row r="130" ht="14.25" customHeight="1">
      <c r="A130" s="130"/>
      <c r="B130" s="67" t="s">
        <v>759</v>
      </c>
      <c r="C130" s="56">
        <v>7500.0</v>
      </c>
      <c r="D130" s="91">
        <f t="shared" si="3"/>
        <v>7275</v>
      </c>
      <c r="E130" s="58"/>
    </row>
    <row r="131" ht="14.25" customHeight="1">
      <c r="A131" s="179"/>
      <c r="B131" s="181" t="s">
        <v>761</v>
      </c>
      <c r="C131" s="183">
        <v>8000.0</v>
      </c>
      <c r="D131" s="184">
        <f t="shared" si="3"/>
        <v>7760</v>
      </c>
      <c r="E131" s="58"/>
    </row>
    <row r="132" ht="14.25" customHeight="1">
      <c r="A132" s="130"/>
      <c r="B132" s="67" t="s">
        <v>763</v>
      </c>
      <c r="C132" s="56">
        <v>8500.0</v>
      </c>
      <c r="D132" s="91">
        <f t="shared" si="3"/>
        <v>8245</v>
      </c>
      <c r="E132" s="58"/>
    </row>
    <row r="133" ht="14.25" customHeight="1">
      <c r="A133" s="191"/>
      <c r="B133" s="192" t="s">
        <v>764</v>
      </c>
      <c r="C133" s="183">
        <v>7200.0</v>
      </c>
      <c r="D133" s="184">
        <f t="shared" si="3"/>
        <v>6984</v>
      </c>
      <c r="E133" s="58"/>
    </row>
    <row r="134" ht="14.25" customHeight="1">
      <c r="A134" s="54"/>
      <c r="B134" s="55" t="s">
        <v>767</v>
      </c>
      <c r="C134" s="56">
        <v>7200.0</v>
      </c>
      <c r="D134" s="91">
        <f t="shared" si="3"/>
        <v>6984</v>
      </c>
      <c r="E134" s="58"/>
    </row>
    <row r="135" ht="14.25" customHeight="1">
      <c r="A135" s="197"/>
      <c r="B135" s="198" t="s">
        <v>769</v>
      </c>
      <c r="C135" s="183">
        <v>7200.0</v>
      </c>
      <c r="D135" s="184">
        <f t="shared" si="3"/>
        <v>6984</v>
      </c>
      <c r="E135" s="58"/>
    </row>
    <row r="136" ht="14.25" customHeight="1">
      <c r="A136" s="153"/>
      <c r="B136" s="200" t="s">
        <v>783</v>
      </c>
      <c r="C136" s="200">
        <v>26000.0</v>
      </c>
      <c r="D136" s="91">
        <f t="shared" si="3"/>
        <v>25220</v>
      </c>
      <c r="E136" s="58"/>
    </row>
    <row r="137" ht="14.25" customHeight="1">
      <c r="A137" s="197"/>
      <c r="B137" s="198" t="s">
        <v>791</v>
      </c>
      <c r="C137" s="198">
        <v>9500.0</v>
      </c>
      <c r="D137" s="184">
        <f t="shared" si="3"/>
        <v>9215</v>
      </c>
      <c r="E137" s="58"/>
    </row>
    <row r="138" ht="14.25" customHeight="1">
      <c r="A138" s="153"/>
      <c r="B138" s="200" t="s">
        <v>795</v>
      </c>
      <c r="C138" s="200">
        <v>25000.0</v>
      </c>
      <c r="D138" s="91">
        <f t="shared" si="3"/>
        <v>24250</v>
      </c>
      <c r="E138" s="58"/>
    </row>
    <row r="139" ht="14.25" customHeight="1">
      <c r="A139" s="197"/>
      <c r="B139" s="198" t="s">
        <v>797</v>
      </c>
      <c r="C139" s="198">
        <v>9500.0</v>
      </c>
      <c r="D139" s="184">
        <f t="shared" si="3"/>
        <v>9215</v>
      </c>
      <c r="E139" s="58"/>
    </row>
    <row r="140" ht="14.25" customHeight="1">
      <c r="A140" s="44"/>
      <c r="B140" s="200" t="s">
        <v>802</v>
      </c>
      <c r="C140" s="200">
        <v>13000.0</v>
      </c>
      <c r="D140" s="91">
        <f t="shared" si="3"/>
        <v>12610</v>
      </c>
      <c r="E140" s="58"/>
    </row>
    <row r="141" ht="14.25" customHeight="1">
      <c r="A141" s="217"/>
      <c r="B141" s="198" t="s">
        <v>861</v>
      </c>
      <c r="C141" s="198">
        <v>29000.0</v>
      </c>
      <c r="D141" s="184">
        <f t="shared" si="3"/>
        <v>28130</v>
      </c>
      <c r="E141" s="58"/>
    </row>
    <row r="142" ht="14.25" customHeight="1">
      <c r="A142" s="44"/>
      <c r="B142" s="200" t="s">
        <v>864</v>
      </c>
      <c r="C142" s="200">
        <v>15000.0</v>
      </c>
      <c r="D142" s="91">
        <f t="shared" si="3"/>
        <v>14550</v>
      </c>
      <c r="E142" s="58"/>
    </row>
    <row r="143" ht="14.25" customHeight="1">
      <c r="A143" s="217"/>
      <c r="B143" s="198" t="s">
        <v>866</v>
      </c>
      <c r="C143" s="198">
        <v>15000.0</v>
      </c>
      <c r="D143" s="184">
        <f t="shared" si="3"/>
        <v>14550</v>
      </c>
      <c r="E143" s="58"/>
    </row>
    <row r="144" ht="51.0" customHeight="1">
      <c r="A144" s="223"/>
      <c r="B144" s="226" t="s">
        <v>559</v>
      </c>
      <c r="C144" s="227"/>
      <c r="D144" s="228"/>
      <c r="E144" s="58"/>
    </row>
    <row r="145" ht="14.25" customHeight="1">
      <c r="A145" s="229"/>
      <c r="B145" s="230" t="s">
        <v>879</v>
      </c>
      <c r="C145" s="231">
        <v>8500.0</v>
      </c>
      <c r="D145" s="91">
        <f t="shared" ref="D145:D166" si="4">C145*0.97</f>
        <v>8245</v>
      </c>
      <c r="E145" s="58"/>
    </row>
    <row r="146" ht="14.25" customHeight="1">
      <c r="A146" s="232"/>
      <c r="B146" s="233" t="s">
        <v>880</v>
      </c>
      <c r="C146" s="234">
        <v>9100.0</v>
      </c>
      <c r="D146" s="235">
        <f t="shared" si="4"/>
        <v>8827</v>
      </c>
      <c r="E146" s="58"/>
    </row>
    <row r="147" ht="17.25" customHeight="1">
      <c r="A147" s="130"/>
      <c r="B147" s="67" t="s">
        <v>881</v>
      </c>
      <c r="C147" s="56">
        <v>6500.0</v>
      </c>
      <c r="D147" s="91">
        <f t="shared" si="4"/>
        <v>6305</v>
      </c>
      <c r="E147" s="58"/>
    </row>
    <row r="148" ht="17.25" customHeight="1">
      <c r="A148" s="237"/>
      <c r="B148" s="240" t="s">
        <v>882</v>
      </c>
      <c r="C148" s="242">
        <v>7500.0</v>
      </c>
      <c r="D148" s="235">
        <f t="shared" si="4"/>
        <v>7275</v>
      </c>
      <c r="E148" s="58"/>
    </row>
    <row r="149" ht="17.25" customHeight="1">
      <c r="A149" s="130"/>
      <c r="B149" s="67" t="s">
        <v>900</v>
      </c>
      <c r="C149" s="56">
        <v>8500.0</v>
      </c>
      <c r="D149" s="91">
        <f t="shared" si="4"/>
        <v>8245</v>
      </c>
      <c r="E149" s="58"/>
    </row>
    <row r="150" ht="14.25" customHeight="1">
      <c r="A150" s="237"/>
      <c r="B150" s="240" t="s">
        <v>901</v>
      </c>
      <c r="C150" s="242">
        <v>7500.0</v>
      </c>
      <c r="D150" s="235">
        <f t="shared" si="4"/>
        <v>7275</v>
      </c>
      <c r="E150" s="58"/>
    </row>
    <row r="151" ht="14.25" customHeight="1">
      <c r="A151" s="130"/>
      <c r="B151" s="67" t="s">
        <v>903</v>
      </c>
      <c r="C151" s="56">
        <v>8000.0</v>
      </c>
      <c r="D151" s="91">
        <f t="shared" si="4"/>
        <v>7760</v>
      </c>
      <c r="E151" s="58"/>
    </row>
    <row r="152" ht="14.25" customHeight="1">
      <c r="A152" s="249"/>
      <c r="B152" s="254" t="s">
        <v>910</v>
      </c>
      <c r="C152" s="257">
        <v>7900.0</v>
      </c>
      <c r="D152" s="235">
        <f t="shared" si="4"/>
        <v>7663</v>
      </c>
      <c r="E152" s="58"/>
    </row>
    <row r="153" ht="14.25" customHeight="1">
      <c r="A153" s="54"/>
      <c r="B153" s="55" t="s">
        <v>942</v>
      </c>
      <c r="C153" s="56">
        <v>15000.0</v>
      </c>
      <c r="D153" s="91">
        <f t="shared" si="4"/>
        <v>14550</v>
      </c>
      <c r="E153" s="58"/>
    </row>
    <row r="154" ht="14.25" customHeight="1">
      <c r="A154" s="237"/>
      <c r="B154" s="240" t="s">
        <v>944</v>
      </c>
      <c r="C154" s="242">
        <v>5000.0</v>
      </c>
      <c r="D154" s="235">
        <f t="shared" si="4"/>
        <v>4850</v>
      </c>
      <c r="E154" s="58"/>
    </row>
    <row r="155" ht="14.25" customHeight="1">
      <c r="A155" s="54"/>
      <c r="B155" s="55" t="s">
        <v>946</v>
      </c>
      <c r="C155" s="56">
        <v>5500.0</v>
      </c>
      <c r="D155" s="91">
        <f t="shared" si="4"/>
        <v>5335</v>
      </c>
      <c r="E155" s="58"/>
    </row>
    <row r="156" ht="14.25" customHeight="1">
      <c r="A156" s="249"/>
      <c r="B156" s="254" t="s">
        <v>950</v>
      </c>
      <c r="C156" s="242">
        <v>6500.0</v>
      </c>
      <c r="D156" s="235">
        <f t="shared" si="4"/>
        <v>6305</v>
      </c>
      <c r="E156" s="58"/>
    </row>
    <row r="157" ht="14.25" customHeight="1">
      <c r="A157" s="54"/>
      <c r="B157" s="55" t="s">
        <v>952</v>
      </c>
      <c r="C157" s="56">
        <v>5500.0</v>
      </c>
      <c r="D157" s="91">
        <f t="shared" si="4"/>
        <v>5335</v>
      </c>
      <c r="E157" s="58"/>
    </row>
    <row r="158" ht="14.25" customHeight="1">
      <c r="A158" s="237"/>
      <c r="B158" s="240" t="s">
        <v>955</v>
      </c>
      <c r="C158" s="242">
        <v>6000.0</v>
      </c>
      <c r="D158" s="235">
        <f t="shared" si="4"/>
        <v>5820</v>
      </c>
      <c r="E158" s="58"/>
    </row>
    <row r="159" ht="14.25" customHeight="1">
      <c r="A159" s="54"/>
      <c r="B159" s="55" t="s">
        <v>958</v>
      </c>
      <c r="C159" s="56">
        <v>8000.0</v>
      </c>
      <c r="D159" s="91">
        <f t="shared" si="4"/>
        <v>7760</v>
      </c>
      <c r="E159" s="58"/>
    </row>
    <row r="160" ht="14.25" customHeight="1">
      <c r="A160" s="237"/>
      <c r="B160" s="240" t="s">
        <v>963</v>
      </c>
      <c r="C160" s="242">
        <v>7800.0</v>
      </c>
      <c r="D160" s="235">
        <f t="shared" si="4"/>
        <v>7566</v>
      </c>
      <c r="E160" s="58"/>
    </row>
    <row r="161" ht="14.25" customHeight="1">
      <c r="A161" s="54"/>
      <c r="B161" s="55" t="s">
        <v>966</v>
      </c>
      <c r="C161" s="56">
        <v>7500.0</v>
      </c>
      <c r="D161" s="91">
        <f t="shared" si="4"/>
        <v>7275</v>
      </c>
      <c r="E161" s="58"/>
    </row>
    <row r="162" ht="14.25" customHeight="1">
      <c r="A162" s="237"/>
      <c r="B162" s="240" t="s">
        <v>970</v>
      </c>
      <c r="C162" s="242">
        <v>5500.0</v>
      </c>
      <c r="D162" s="235">
        <f t="shared" si="4"/>
        <v>5335</v>
      </c>
      <c r="E162" s="58"/>
    </row>
    <row r="163" ht="14.25" customHeight="1">
      <c r="A163" s="54"/>
      <c r="B163" s="55" t="s">
        <v>972</v>
      </c>
      <c r="C163" s="56">
        <v>5500.0</v>
      </c>
      <c r="D163" s="91">
        <f t="shared" si="4"/>
        <v>5335</v>
      </c>
      <c r="E163" s="58"/>
    </row>
    <row r="164" ht="14.25" customHeight="1">
      <c r="A164" s="249"/>
      <c r="B164" s="254" t="s">
        <v>977</v>
      </c>
      <c r="C164" s="257">
        <v>11500.0</v>
      </c>
      <c r="D164" s="235">
        <f t="shared" si="4"/>
        <v>11155</v>
      </c>
      <c r="E164" s="58"/>
    </row>
    <row r="165" ht="14.25" customHeight="1">
      <c r="A165" s="54"/>
      <c r="B165" s="55" t="s">
        <v>980</v>
      </c>
      <c r="C165" s="56">
        <v>7200.0</v>
      </c>
      <c r="D165" s="91">
        <f t="shared" si="4"/>
        <v>6984</v>
      </c>
      <c r="E165" s="58"/>
    </row>
    <row r="166" ht="14.25" customHeight="1">
      <c r="A166" s="237"/>
      <c r="B166" s="240" t="s">
        <v>982</v>
      </c>
      <c r="C166" s="242">
        <v>7200.0</v>
      </c>
      <c r="D166" s="235">
        <f t="shared" si="4"/>
        <v>6984</v>
      </c>
      <c r="E166" s="58"/>
    </row>
    <row r="167" ht="54.0" customHeight="1">
      <c r="A167" s="274"/>
      <c r="B167" s="277" t="s">
        <v>842</v>
      </c>
      <c r="C167" s="278"/>
      <c r="D167" s="279"/>
      <c r="E167" s="58"/>
    </row>
    <row r="168" ht="14.25" customHeight="1">
      <c r="A168" s="280"/>
      <c r="B168" s="281" t="s">
        <v>1007</v>
      </c>
      <c r="C168" s="120">
        <v>5900.0</v>
      </c>
      <c r="D168" s="158">
        <f>C168*0.97</f>
        <v>5723</v>
      </c>
      <c r="E168" s="58"/>
    </row>
    <row r="169" ht="14.25" customHeight="1">
      <c r="A169" s="282"/>
      <c r="B169" s="283"/>
      <c r="C169" s="284"/>
      <c r="D169" s="284"/>
    </row>
    <row r="170" ht="14.25" customHeight="1">
      <c r="A170" s="285"/>
      <c r="B170" s="286"/>
      <c r="C170" s="158"/>
      <c r="D170" s="158"/>
    </row>
    <row r="171" ht="14.25" customHeight="1">
      <c r="A171" s="287"/>
      <c r="B171" s="288"/>
      <c r="C171" s="284"/>
      <c r="D171" s="284"/>
    </row>
    <row r="172" ht="14.25" customHeight="1">
      <c r="A172" s="285"/>
      <c r="B172" s="286"/>
      <c r="C172" s="158"/>
      <c r="D172" s="158"/>
    </row>
    <row r="173" ht="14.25" customHeight="1">
      <c r="A173" s="287"/>
      <c r="B173" s="288"/>
      <c r="C173" s="284"/>
      <c r="D173" s="284"/>
    </row>
    <row r="174" ht="14.25" customHeight="1">
      <c r="A174" s="285"/>
      <c r="B174" s="286"/>
      <c r="C174" s="158"/>
      <c r="D174" s="158"/>
    </row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</sheetData>
  <mergeCells count="7">
    <mergeCell ref="A1:E1"/>
    <mergeCell ref="A2:D2"/>
    <mergeCell ref="E2:E4"/>
    <mergeCell ref="B65:D65"/>
    <mergeCell ref="B111:D111"/>
    <mergeCell ref="B144:D144"/>
    <mergeCell ref="B167:D16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2.63" defaultRowHeight="15.0"/>
  <cols>
    <col customWidth="1" min="1" max="1" width="57.63"/>
    <col customWidth="1" min="2" max="2" width="13.38"/>
    <col customWidth="1" min="3" max="3" width="15.63"/>
    <col customWidth="1" min="4" max="6" width="10.5"/>
    <col customWidth="1" min="7" max="26" width="10.25"/>
  </cols>
  <sheetData>
    <row r="1" ht="78.0" customHeight="1">
      <c r="A1" s="1" t="s">
        <v>0</v>
      </c>
      <c r="B1" s="2"/>
      <c r="C1" s="3"/>
    </row>
    <row r="2" ht="42.75" customHeight="1">
      <c r="A2" s="4" t="s">
        <v>2</v>
      </c>
      <c r="B2" s="5" t="s">
        <v>3</v>
      </c>
      <c r="C2" s="6" t="s">
        <v>4</v>
      </c>
    </row>
    <row r="3" ht="40.5" customHeight="1">
      <c r="A3" s="8" t="s">
        <v>5</v>
      </c>
      <c r="B3" s="10"/>
      <c r="C3" s="12"/>
      <c r="D3" s="13"/>
    </row>
    <row r="4" ht="14.25" customHeight="1">
      <c r="A4" s="15" t="s">
        <v>6</v>
      </c>
      <c r="B4" s="18">
        <v>9500.0</v>
      </c>
      <c r="C4" s="22">
        <f t="shared" ref="C4:C54" si="1">B4*0.97</f>
        <v>9215</v>
      </c>
      <c r="D4" s="24"/>
    </row>
    <row r="5" ht="14.25" customHeight="1">
      <c r="A5" s="26" t="s">
        <v>10</v>
      </c>
      <c r="B5" s="28">
        <v>8500.0</v>
      </c>
      <c r="C5" s="30">
        <f t="shared" si="1"/>
        <v>8245</v>
      </c>
      <c r="D5" s="24"/>
    </row>
    <row r="6" ht="14.25" customHeight="1">
      <c r="A6" s="35" t="s">
        <v>12</v>
      </c>
      <c r="B6" s="18">
        <v>10900.0</v>
      </c>
      <c r="C6" s="22">
        <f t="shared" si="1"/>
        <v>10573</v>
      </c>
      <c r="D6" s="24"/>
    </row>
    <row r="7" ht="14.25" customHeight="1">
      <c r="A7" s="36" t="s">
        <v>14</v>
      </c>
      <c r="B7" s="39">
        <v>15000.0</v>
      </c>
      <c r="C7" s="40">
        <f t="shared" si="1"/>
        <v>14550</v>
      </c>
      <c r="D7" s="24"/>
    </row>
    <row r="8" ht="14.25" customHeight="1">
      <c r="A8" s="35" t="s">
        <v>20</v>
      </c>
      <c r="B8" s="18">
        <v>10900.0</v>
      </c>
      <c r="C8" s="22">
        <f t="shared" si="1"/>
        <v>10573</v>
      </c>
      <c r="D8" s="24"/>
    </row>
    <row r="9" ht="14.25" customHeight="1">
      <c r="A9" s="36" t="s">
        <v>21</v>
      </c>
      <c r="B9" s="39">
        <v>15000.0</v>
      </c>
      <c r="C9" s="40">
        <f t="shared" si="1"/>
        <v>14550</v>
      </c>
      <c r="D9" s="24"/>
    </row>
    <row r="10" ht="14.25" customHeight="1">
      <c r="A10" s="15" t="s">
        <v>22</v>
      </c>
      <c r="B10" s="18">
        <v>10900.0</v>
      </c>
      <c r="C10" s="22">
        <f t="shared" si="1"/>
        <v>10573</v>
      </c>
      <c r="D10" s="24"/>
    </row>
    <row r="11" ht="14.25" customHeight="1">
      <c r="A11" s="46" t="s">
        <v>24</v>
      </c>
      <c r="B11" s="65">
        <v>10900.0</v>
      </c>
      <c r="C11" s="30">
        <f t="shared" si="1"/>
        <v>10573</v>
      </c>
      <c r="D11" s="24"/>
    </row>
    <row r="12" ht="14.25" customHeight="1">
      <c r="A12" s="36" t="s">
        <v>38</v>
      </c>
      <c r="B12" s="39">
        <v>15000.0</v>
      </c>
      <c r="C12" s="40">
        <f t="shared" si="1"/>
        <v>14550</v>
      </c>
      <c r="D12" s="24"/>
    </row>
    <row r="13" ht="14.25" customHeight="1">
      <c r="A13" s="26" t="s">
        <v>40</v>
      </c>
      <c r="B13" s="65">
        <v>10900.0</v>
      </c>
      <c r="C13" s="30">
        <f t="shared" si="1"/>
        <v>10573</v>
      </c>
      <c r="D13" s="24"/>
    </row>
    <row r="14" ht="14.25" customHeight="1">
      <c r="A14" s="15" t="s">
        <v>41</v>
      </c>
      <c r="B14" s="18">
        <v>10900.0</v>
      </c>
      <c r="C14" s="22">
        <f t="shared" si="1"/>
        <v>10573</v>
      </c>
      <c r="D14" s="24"/>
    </row>
    <row r="15" ht="14.25" customHeight="1">
      <c r="A15" s="36" t="s">
        <v>44</v>
      </c>
      <c r="B15" s="39">
        <v>15000.0</v>
      </c>
      <c r="C15" s="40">
        <f t="shared" si="1"/>
        <v>14550</v>
      </c>
      <c r="D15" s="24"/>
    </row>
    <row r="16" ht="14.25" customHeight="1">
      <c r="A16" s="15" t="s">
        <v>46</v>
      </c>
      <c r="B16" s="18">
        <v>10900.0</v>
      </c>
      <c r="C16" s="22">
        <f t="shared" si="1"/>
        <v>10573</v>
      </c>
      <c r="D16" s="24"/>
    </row>
    <row r="17" ht="14.25" customHeight="1">
      <c r="A17" s="46" t="s">
        <v>47</v>
      </c>
      <c r="B17" s="65">
        <v>10900.0</v>
      </c>
      <c r="C17" s="30">
        <f t="shared" si="1"/>
        <v>10573</v>
      </c>
      <c r="D17" s="24"/>
    </row>
    <row r="18" ht="14.25" customHeight="1">
      <c r="A18" s="36" t="s">
        <v>50</v>
      </c>
      <c r="B18" s="39">
        <v>15000.0</v>
      </c>
      <c r="C18" s="40">
        <f t="shared" si="1"/>
        <v>14550</v>
      </c>
      <c r="D18" s="24"/>
    </row>
    <row r="19" ht="14.25" customHeight="1">
      <c r="A19" s="46" t="s">
        <v>51</v>
      </c>
      <c r="B19" s="65">
        <v>10900.0</v>
      </c>
      <c r="C19" s="30">
        <f t="shared" si="1"/>
        <v>10573</v>
      </c>
      <c r="D19" s="24"/>
    </row>
    <row r="20" ht="16.5" customHeight="1">
      <c r="A20" s="73" t="s">
        <v>53</v>
      </c>
      <c r="B20" s="39">
        <v>15000.0</v>
      </c>
      <c r="C20" s="40">
        <f t="shared" si="1"/>
        <v>14550</v>
      </c>
      <c r="D20" s="24"/>
    </row>
    <row r="21" ht="14.25" customHeight="1">
      <c r="A21" s="46" t="s">
        <v>56</v>
      </c>
      <c r="B21" s="65">
        <v>11900.0</v>
      </c>
      <c r="C21" s="30">
        <f t="shared" si="1"/>
        <v>11543</v>
      </c>
      <c r="D21" s="24"/>
    </row>
    <row r="22" ht="14.25" customHeight="1">
      <c r="A22" s="15" t="s">
        <v>57</v>
      </c>
      <c r="B22" s="18">
        <v>10900.0</v>
      </c>
      <c r="C22" s="22">
        <f t="shared" si="1"/>
        <v>10573</v>
      </c>
      <c r="D22" s="24"/>
    </row>
    <row r="23" ht="16.5" customHeight="1">
      <c r="A23" s="73" t="s">
        <v>58</v>
      </c>
      <c r="B23" s="39">
        <v>15000.0</v>
      </c>
      <c r="C23" s="40">
        <f t="shared" si="1"/>
        <v>14550</v>
      </c>
      <c r="D23" s="24"/>
    </row>
    <row r="24" ht="14.25" customHeight="1">
      <c r="A24" s="15" t="s">
        <v>59</v>
      </c>
      <c r="B24" s="18">
        <v>10900.0</v>
      </c>
      <c r="C24" s="22">
        <f t="shared" si="1"/>
        <v>10573</v>
      </c>
      <c r="D24" s="24"/>
    </row>
    <row r="25" ht="14.25" customHeight="1">
      <c r="A25" s="73" t="s">
        <v>60</v>
      </c>
      <c r="B25" s="39">
        <v>15000.0</v>
      </c>
      <c r="C25" s="40">
        <f t="shared" si="1"/>
        <v>14550</v>
      </c>
      <c r="D25" s="24"/>
    </row>
    <row r="26" ht="14.25" customHeight="1">
      <c r="A26" s="15" t="s">
        <v>62</v>
      </c>
      <c r="B26" s="74">
        <v>11900.0</v>
      </c>
      <c r="C26" s="22">
        <f t="shared" si="1"/>
        <v>11543</v>
      </c>
      <c r="D26" s="24"/>
    </row>
    <row r="27" ht="14.25" customHeight="1">
      <c r="A27" s="80" t="s">
        <v>64</v>
      </c>
      <c r="B27" s="39">
        <v>15000.0</v>
      </c>
      <c r="C27" s="40">
        <f t="shared" si="1"/>
        <v>14550</v>
      </c>
      <c r="D27" s="24"/>
    </row>
    <row r="28" ht="14.25" customHeight="1">
      <c r="A28" s="35" t="s">
        <v>76</v>
      </c>
      <c r="B28" s="18">
        <v>11900.0</v>
      </c>
      <c r="C28" s="22">
        <f t="shared" si="1"/>
        <v>11543</v>
      </c>
      <c r="D28" s="24"/>
    </row>
    <row r="29" ht="14.25" customHeight="1">
      <c r="A29" s="46" t="s">
        <v>77</v>
      </c>
      <c r="B29" s="65">
        <v>29000.0</v>
      </c>
      <c r="C29" s="30">
        <f t="shared" si="1"/>
        <v>28130</v>
      </c>
      <c r="D29" s="86" t="s">
        <v>78</v>
      </c>
    </row>
    <row r="30" ht="14.25" customHeight="1">
      <c r="A30" s="15" t="s">
        <v>80</v>
      </c>
      <c r="B30" s="18">
        <v>9900.0</v>
      </c>
      <c r="C30" s="22">
        <f t="shared" si="1"/>
        <v>9603</v>
      </c>
      <c r="D30" s="24"/>
    </row>
    <row r="31" ht="14.25" customHeight="1">
      <c r="A31" s="73" t="s">
        <v>83</v>
      </c>
      <c r="B31" s="39">
        <v>15000.0</v>
      </c>
      <c r="C31" s="40">
        <f t="shared" si="1"/>
        <v>14550</v>
      </c>
      <c r="D31" s="24"/>
    </row>
    <row r="32" ht="14.25" customHeight="1">
      <c r="A32" s="35" t="s">
        <v>86</v>
      </c>
      <c r="B32" s="18">
        <v>10900.0</v>
      </c>
      <c r="C32" s="22">
        <f t="shared" si="1"/>
        <v>10573</v>
      </c>
      <c r="D32" s="24"/>
    </row>
    <row r="33" ht="16.5" customHeight="1">
      <c r="A33" s="73" t="s">
        <v>88</v>
      </c>
      <c r="B33" s="39">
        <v>15000.0</v>
      </c>
      <c r="C33" s="40">
        <f t="shared" si="1"/>
        <v>14550</v>
      </c>
      <c r="D33" s="86"/>
    </row>
    <row r="34" ht="14.25" customHeight="1">
      <c r="A34" s="15" t="s">
        <v>90</v>
      </c>
      <c r="B34" s="18">
        <v>29000.0</v>
      </c>
      <c r="C34" s="22">
        <f t="shared" si="1"/>
        <v>28130</v>
      </c>
      <c r="D34" s="86"/>
    </row>
    <row r="35" ht="14.25" customHeight="1">
      <c r="A35" s="46" t="s">
        <v>92</v>
      </c>
      <c r="B35" s="65">
        <v>12900.0</v>
      </c>
      <c r="C35" s="30">
        <f t="shared" si="1"/>
        <v>12513</v>
      </c>
      <c r="D35" s="24"/>
    </row>
    <row r="36" ht="14.25" customHeight="1">
      <c r="A36" s="35" t="s">
        <v>95</v>
      </c>
      <c r="B36" s="18">
        <v>33000.0</v>
      </c>
      <c r="C36" s="22">
        <f t="shared" si="1"/>
        <v>32010</v>
      </c>
      <c r="D36" s="24"/>
    </row>
    <row r="37" ht="14.25" customHeight="1">
      <c r="A37" s="46" t="s">
        <v>99</v>
      </c>
      <c r="B37" s="65">
        <v>13900.0</v>
      </c>
      <c r="C37" s="30">
        <f t="shared" si="1"/>
        <v>13483</v>
      </c>
      <c r="D37" s="24"/>
    </row>
    <row r="38" ht="14.25" customHeight="1">
      <c r="A38" s="35" t="s">
        <v>100</v>
      </c>
      <c r="B38" s="18">
        <v>13900.0</v>
      </c>
      <c r="C38" s="22">
        <f t="shared" si="1"/>
        <v>13483</v>
      </c>
      <c r="D38" s="24"/>
    </row>
    <row r="39" ht="14.25" customHeight="1">
      <c r="A39" s="46" t="s">
        <v>103</v>
      </c>
      <c r="B39" s="65">
        <v>12900.0</v>
      </c>
      <c r="C39" s="30">
        <f t="shared" si="1"/>
        <v>12513</v>
      </c>
      <c r="D39" s="24"/>
    </row>
    <row r="40" ht="14.25" customHeight="1">
      <c r="A40" s="35" t="s">
        <v>104</v>
      </c>
      <c r="B40" s="18">
        <v>13900.0</v>
      </c>
      <c r="C40" s="22">
        <f t="shared" si="1"/>
        <v>13483</v>
      </c>
      <c r="D40" s="24"/>
    </row>
    <row r="41" ht="14.25" customHeight="1">
      <c r="A41" s="46" t="s">
        <v>108</v>
      </c>
      <c r="B41" s="65">
        <v>13900.0</v>
      </c>
      <c r="C41" s="30">
        <f t="shared" si="1"/>
        <v>13483</v>
      </c>
      <c r="D41" s="24"/>
    </row>
    <row r="42" ht="14.25" customHeight="1">
      <c r="A42" s="35" t="s">
        <v>109</v>
      </c>
      <c r="B42" s="18">
        <v>12900.0</v>
      </c>
      <c r="C42" s="22">
        <f t="shared" si="1"/>
        <v>12513</v>
      </c>
      <c r="D42" s="24"/>
    </row>
    <row r="43" ht="14.25" customHeight="1">
      <c r="A43" s="46" t="s">
        <v>111</v>
      </c>
      <c r="B43" s="65">
        <v>12900.0</v>
      </c>
      <c r="C43" s="30">
        <f t="shared" si="1"/>
        <v>12513</v>
      </c>
      <c r="D43" s="24"/>
    </row>
    <row r="44" ht="14.25" customHeight="1">
      <c r="A44" s="35" t="s">
        <v>113</v>
      </c>
      <c r="B44" s="18">
        <v>13900.0</v>
      </c>
      <c r="C44" s="22">
        <f t="shared" si="1"/>
        <v>13483</v>
      </c>
      <c r="D44" s="24"/>
    </row>
    <row r="45" ht="14.25" customHeight="1">
      <c r="A45" s="46" t="s">
        <v>115</v>
      </c>
      <c r="B45" s="65">
        <v>13900.0</v>
      </c>
      <c r="C45" s="30">
        <f t="shared" si="1"/>
        <v>13483</v>
      </c>
      <c r="D45" s="24"/>
    </row>
    <row r="46" ht="14.25" customHeight="1">
      <c r="A46" s="35" t="s">
        <v>117</v>
      </c>
      <c r="B46" s="18">
        <v>13900.0</v>
      </c>
      <c r="C46" s="22">
        <f t="shared" si="1"/>
        <v>13483</v>
      </c>
      <c r="D46" s="24"/>
    </row>
    <row r="47" ht="14.25" customHeight="1">
      <c r="A47" s="46" t="s">
        <v>118</v>
      </c>
      <c r="B47" s="65">
        <v>13900.0</v>
      </c>
      <c r="C47" s="30">
        <f t="shared" si="1"/>
        <v>13483</v>
      </c>
      <c r="D47" s="24"/>
    </row>
    <row r="48" ht="14.25" customHeight="1">
      <c r="A48" s="15" t="s">
        <v>122</v>
      </c>
      <c r="B48" s="74">
        <v>9000.0</v>
      </c>
      <c r="C48" s="22">
        <f t="shared" si="1"/>
        <v>8730</v>
      </c>
      <c r="D48" s="24"/>
    </row>
    <row r="49" ht="14.25" customHeight="1">
      <c r="A49" s="46" t="s">
        <v>123</v>
      </c>
      <c r="B49" s="65">
        <v>9900.0</v>
      </c>
      <c r="C49" s="30">
        <f t="shared" si="1"/>
        <v>9603</v>
      </c>
      <c r="D49" s="24"/>
    </row>
    <row r="50" ht="14.25" customHeight="1">
      <c r="A50" s="15" t="s">
        <v>125</v>
      </c>
      <c r="B50" s="74">
        <v>9000.0</v>
      </c>
      <c r="C50" s="22">
        <f t="shared" si="1"/>
        <v>8730</v>
      </c>
      <c r="D50" s="24"/>
    </row>
    <row r="51" ht="14.25" customHeight="1">
      <c r="A51" s="26" t="s">
        <v>127</v>
      </c>
      <c r="B51" s="28">
        <v>10900.0</v>
      </c>
      <c r="C51" s="30">
        <f t="shared" si="1"/>
        <v>10573</v>
      </c>
      <c r="D51" s="24"/>
    </row>
    <row r="52" ht="14.25" customHeight="1">
      <c r="A52" s="15" t="s">
        <v>129</v>
      </c>
      <c r="B52" s="18">
        <v>7500.0</v>
      </c>
      <c r="C52" s="22">
        <f t="shared" si="1"/>
        <v>7275</v>
      </c>
      <c r="D52" s="24"/>
    </row>
    <row r="53" ht="14.25" customHeight="1">
      <c r="A53" s="26" t="s">
        <v>131</v>
      </c>
      <c r="B53" s="65">
        <v>7500.0</v>
      </c>
      <c r="C53" s="30">
        <f t="shared" si="1"/>
        <v>7275</v>
      </c>
      <c r="D53" s="24"/>
    </row>
    <row r="54" ht="14.25" customHeight="1">
      <c r="A54" s="15" t="s">
        <v>133</v>
      </c>
      <c r="B54" s="18">
        <v>7000.0</v>
      </c>
      <c r="C54" s="22">
        <f t="shared" si="1"/>
        <v>6790</v>
      </c>
      <c r="D54" s="24"/>
    </row>
    <row r="55" ht="58.5" customHeight="1">
      <c r="A55" s="99" t="s">
        <v>136</v>
      </c>
      <c r="B55" s="100"/>
      <c r="C55" s="101"/>
    </row>
    <row r="56" ht="14.25" customHeight="1">
      <c r="A56" s="35" t="s">
        <v>156</v>
      </c>
      <c r="B56" s="18">
        <v>9000.0</v>
      </c>
      <c r="C56" s="22">
        <f t="shared" ref="C56:C114" si="2">B56*0.97</f>
        <v>8730</v>
      </c>
    </row>
    <row r="57" ht="14.25" customHeight="1">
      <c r="A57" s="108" t="s">
        <v>171</v>
      </c>
      <c r="B57" s="110">
        <v>9900.0</v>
      </c>
      <c r="C57" s="111">
        <f t="shared" si="2"/>
        <v>9603</v>
      </c>
    </row>
    <row r="58" ht="14.25" customHeight="1">
      <c r="A58" s="15" t="s">
        <v>194</v>
      </c>
      <c r="B58" s="18">
        <v>8500.0</v>
      </c>
      <c r="C58" s="22">
        <f t="shared" si="2"/>
        <v>8245</v>
      </c>
    </row>
    <row r="59" ht="14.25" customHeight="1">
      <c r="A59" s="108" t="s">
        <v>198</v>
      </c>
      <c r="B59" s="110">
        <v>9900.0</v>
      </c>
      <c r="C59" s="111">
        <f t="shared" si="2"/>
        <v>9603</v>
      </c>
    </row>
    <row r="60" ht="14.25" customHeight="1">
      <c r="A60" s="35" t="s">
        <v>201</v>
      </c>
      <c r="B60" s="74">
        <v>7900.0</v>
      </c>
      <c r="C60" s="22">
        <f t="shared" si="2"/>
        <v>7663</v>
      </c>
    </row>
    <row r="61" ht="14.25" customHeight="1">
      <c r="A61" s="108" t="s">
        <v>207</v>
      </c>
      <c r="B61" s="112">
        <v>7900.0</v>
      </c>
      <c r="C61" s="111">
        <f t="shared" si="2"/>
        <v>7663</v>
      </c>
    </row>
    <row r="62" ht="14.25" customHeight="1">
      <c r="A62" s="15" t="s">
        <v>212</v>
      </c>
      <c r="B62" s="74">
        <v>8100.0</v>
      </c>
      <c r="C62" s="22">
        <f t="shared" si="2"/>
        <v>7857</v>
      </c>
      <c r="D62" s="34" t="s">
        <v>78</v>
      </c>
    </row>
    <row r="63" ht="14.25" customHeight="1">
      <c r="A63" s="108" t="s">
        <v>218</v>
      </c>
      <c r="B63" s="110">
        <v>9500.0</v>
      </c>
      <c r="C63" s="111">
        <f t="shared" si="2"/>
        <v>9215</v>
      </c>
    </row>
    <row r="64" ht="14.25" customHeight="1">
      <c r="A64" s="35" t="s">
        <v>222</v>
      </c>
      <c r="B64" s="74">
        <v>10900.0</v>
      </c>
      <c r="C64" s="22">
        <f t="shared" si="2"/>
        <v>10573</v>
      </c>
    </row>
    <row r="65" ht="14.25" customHeight="1">
      <c r="A65" s="113" t="s">
        <v>228</v>
      </c>
      <c r="B65" s="112">
        <v>9900.0</v>
      </c>
      <c r="C65" s="111">
        <f t="shared" si="2"/>
        <v>9603</v>
      </c>
    </row>
    <row r="66" ht="14.25" customHeight="1">
      <c r="A66" s="35" t="s">
        <v>234</v>
      </c>
      <c r="B66" s="18">
        <v>10900.0</v>
      </c>
      <c r="C66" s="22">
        <f t="shared" si="2"/>
        <v>10573</v>
      </c>
    </row>
    <row r="67" ht="14.25" customHeight="1">
      <c r="A67" s="113" t="s">
        <v>238</v>
      </c>
      <c r="B67" s="110">
        <v>11900.0</v>
      </c>
      <c r="C67" s="111">
        <f t="shared" si="2"/>
        <v>11543</v>
      </c>
    </row>
    <row r="68" ht="14.25" customHeight="1">
      <c r="A68" s="15" t="s">
        <v>242</v>
      </c>
      <c r="B68" s="74">
        <v>10000.0</v>
      </c>
      <c r="C68" s="22">
        <f t="shared" si="2"/>
        <v>9700</v>
      </c>
    </row>
    <row r="69" ht="14.25" customHeight="1">
      <c r="A69" s="113" t="s">
        <v>250</v>
      </c>
      <c r="B69" s="110">
        <v>10900.0</v>
      </c>
      <c r="C69" s="111">
        <f t="shared" si="2"/>
        <v>10573</v>
      </c>
    </row>
    <row r="70" ht="14.25" customHeight="1">
      <c r="A70" s="35" t="s">
        <v>253</v>
      </c>
      <c r="B70" s="18">
        <v>9900.0</v>
      </c>
      <c r="C70" s="22">
        <f t="shared" si="2"/>
        <v>9603</v>
      </c>
    </row>
    <row r="71" ht="14.25" customHeight="1">
      <c r="A71" s="108" t="s">
        <v>256</v>
      </c>
      <c r="B71" s="110">
        <v>18900.0</v>
      </c>
      <c r="C71" s="111">
        <f t="shared" si="2"/>
        <v>18333</v>
      </c>
    </row>
    <row r="72" ht="14.25" customHeight="1">
      <c r="A72" s="15" t="s">
        <v>261</v>
      </c>
      <c r="B72" s="74">
        <v>10900.0</v>
      </c>
      <c r="C72" s="22">
        <f t="shared" si="2"/>
        <v>10573</v>
      </c>
      <c r="D72" s="34" t="s">
        <v>78</v>
      </c>
    </row>
    <row r="73" ht="14.25" customHeight="1">
      <c r="A73" s="113" t="s">
        <v>266</v>
      </c>
      <c r="B73" s="112">
        <v>11900.0</v>
      </c>
      <c r="C73" s="111">
        <f t="shared" si="2"/>
        <v>11543</v>
      </c>
    </row>
    <row r="74" ht="14.25" customHeight="1">
      <c r="A74" s="15" t="s">
        <v>269</v>
      </c>
      <c r="B74" s="74">
        <v>11900.0</v>
      </c>
      <c r="C74" s="22">
        <f t="shared" si="2"/>
        <v>11543</v>
      </c>
    </row>
    <row r="75" ht="14.25" customHeight="1">
      <c r="A75" s="113" t="s">
        <v>286</v>
      </c>
      <c r="B75" s="110">
        <v>12900.0</v>
      </c>
      <c r="C75" s="111">
        <f t="shared" si="2"/>
        <v>12513</v>
      </c>
    </row>
    <row r="76" ht="14.25" customHeight="1">
      <c r="A76" s="35" t="s">
        <v>291</v>
      </c>
      <c r="B76" s="18">
        <v>29000.0</v>
      </c>
      <c r="C76" s="22">
        <f t="shared" si="2"/>
        <v>28130</v>
      </c>
    </row>
    <row r="77" ht="14.25" customHeight="1">
      <c r="A77" s="108" t="s">
        <v>294</v>
      </c>
      <c r="B77" s="110">
        <v>16900.0</v>
      </c>
      <c r="C77" s="111">
        <f t="shared" si="2"/>
        <v>16393</v>
      </c>
      <c r="D77" s="34" t="s">
        <v>78</v>
      </c>
    </row>
    <row r="78" ht="14.25" customHeight="1">
      <c r="A78" s="35" t="s">
        <v>298</v>
      </c>
      <c r="B78" s="18">
        <v>30000.0</v>
      </c>
      <c r="C78" s="22">
        <f t="shared" si="2"/>
        <v>29100</v>
      </c>
      <c r="D78" s="34"/>
    </row>
    <row r="79" ht="14.25" customHeight="1">
      <c r="A79" s="113" t="s">
        <v>301</v>
      </c>
      <c r="B79" s="110">
        <v>9900.0</v>
      </c>
      <c r="C79" s="111">
        <f t="shared" si="2"/>
        <v>9603</v>
      </c>
    </row>
    <row r="80" ht="14.25" customHeight="1">
      <c r="A80" s="15" t="s">
        <v>306</v>
      </c>
      <c r="B80" s="18">
        <v>15000.0</v>
      </c>
      <c r="C80" s="22">
        <f t="shared" si="2"/>
        <v>14550</v>
      </c>
    </row>
    <row r="81" ht="14.25" customHeight="1">
      <c r="A81" s="108" t="s">
        <v>309</v>
      </c>
      <c r="B81" s="110">
        <v>12900.0</v>
      </c>
      <c r="C81" s="111">
        <f t="shared" si="2"/>
        <v>12513</v>
      </c>
      <c r="D81" s="34"/>
    </row>
    <row r="82" ht="14.25" customHeight="1">
      <c r="A82" s="15" t="s">
        <v>313</v>
      </c>
      <c r="B82" s="74">
        <v>12900.0</v>
      </c>
      <c r="C82" s="22">
        <f t="shared" si="2"/>
        <v>12513</v>
      </c>
    </row>
    <row r="83" ht="14.25" customHeight="1">
      <c r="A83" s="113" t="s">
        <v>315</v>
      </c>
      <c r="B83" s="110">
        <v>9900.0</v>
      </c>
      <c r="C83" s="111">
        <f t="shared" si="2"/>
        <v>9603</v>
      </c>
    </row>
    <row r="84" ht="14.25" customHeight="1">
      <c r="A84" s="35" t="s">
        <v>320</v>
      </c>
      <c r="B84" s="18">
        <v>25000.0</v>
      </c>
      <c r="C84" s="22">
        <f t="shared" si="2"/>
        <v>24250</v>
      </c>
    </row>
    <row r="85" ht="14.25" customHeight="1">
      <c r="A85" s="108" t="s">
        <v>324</v>
      </c>
      <c r="B85" s="110">
        <v>9900.0</v>
      </c>
      <c r="C85" s="111">
        <f t="shared" si="2"/>
        <v>9603</v>
      </c>
    </row>
    <row r="86" ht="14.25" customHeight="1">
      <c r="A86" s="35" t="s">
        <v>327</v>
      </c>
      <c r="B86" s="18">
        <v>16900.0</v>
      </c>
      <c r="C86" s="22">
        <f t="shared" si="2"/>
        <v>16393</v>
      </c>
      <c r="D86" s="34" t="s">
        <v>78</v>
      </c>
    </row>
    <row r="87" ht="14.25" customHeight="1">
      <c r="A87" s="113" t="s">
        <v>332</v>
      </c>
      <c r="B87" s="110">
        <v>10900.0</v>
      </c>
      <c r="C87" s="111">
        <f t="shared" si="2"/>
        <v>10573</v>
      </c>
    </row>
    <row r="88" ht="14.25" customHeight="1">
      <c r="A88" s="35" t="s">
        <v>335</v>
      </c>
      <c r="B88" s="18">
        <v>13900.0</v>
      </c>
      <c r="C88" s="22">
        <f t="shared" si="2"/>
        <v>13483</v>
      </c>
      <c r="D88" s="34"/>
    </row>
    <row r="89" ht="14.25" customHeight="1">
      <c r="A89" s="108" t="s">
        <v>338</v>
      </c>
      <c r="B89" s="110">
        <v>12900.0</v>
      </c>
      <c r="C89" s="111">
        <f t="shared" si="2"/>
        <v>12513</v>
      </c>
      <c r="D89" s="34"/>
    </row>
    <row r="90" ht="14.25" customHeight="1">
      <c r="A90" s="35" t="s">
        <v>341</v>
      </c>
      <c r="B90" s="18">
        <v>12900.0</v>
      </c>
      <c r="C90" s="22">
        <f t="shared" si="2"/>
        <v>12513</v>
      </c>
    </row>
    <row r="91" ht="14.25" customHeight="1">
      <c r="A91" s="113" t="s">
        <v>343</v>
      </c>
      <c r="B91" s="110">
        <v>27900.0</v>
      </c>
      <c r="C91" s="111">
        <f t="shared" si="2"/>
        <v>27063</v>
      </c>
    </row>
    <row r="92" ht="14.25" customHeight="1">
      <c r="A92" s="15" t="s">
        <v>347</v>
      </c>
      <c r="B92" s="18">
        <v>27900.0</v>
      </c>
      <c r="C92" s="22">
        <f t="shared" si="2"/>
        <v>27063</v>
      </c>
    </row>
    <row r="93" ht="14.25" customHeight="1">
      <c r="A93" s="108" t="s">
        <v>351</v>
      </c>
      <c r="B93" s="110">
        <v>13900.0</v>
      </c>
      <c r="C93" s="111">
        <f t="shared" si="2"/>
        <v>13483</v>
      </c>
    </row>
    <row r="94" ht="14.25" customHeight="1">
      <c r="A94" s="35" t="s">
        <v>354</v>
      </c>
      <c r="B94" s="18">
        <v>13900.0</v>
      </c>
      <c r="C94" s="22">
        <f t="shared" si="2"/>
        <v>13483</v>
      </c>
    </row>
    <row r="95" ht="14.25" customHeight="1">
      <c r="A95" s="108" t="s">
        <v>356</v>
      </c>
      <c r="B95" s="110">
        <v>13900.0</v>
      </c>
      <c r="C95" s="111">
        <f t="shared" si="2"/>
        <v>13483</v>
      </c>
      <c r="D95" s="34"/>
    </row>
    <row r="96" ht="14.25" customHeight="1">
      <c r="A96" s="15" t="s">
        <v>361</v>
      </c>
      <c r="B96" s="18">
        <v>31500.0</v>
      </c>
      <c r="C96" s="22">
        <f t="shared" si="2"/>
        <v>30555</v>
      </c>
    </row>
    <row r="97" ht="14.25" customHeight="1">
      <c r="A97" s="113" t="s">
        <v>364</v>
      </c>
      <c r="B97" s="110">
        <v>32000.0</v>
      </c>
      <c r="C97" s="111">
        <f t="shared" si="2"/>
        <v>31040</v>
      </c>
    </row>
    <row r="98" ht="14.25" customHeight="1">
      <c r="A98" s="15" t="s">
        <v>368</v>
      </c>
      <c r="B98" s="18">
        <v>32000.0</v>
      </c>
      <c r="C98" s="22">
        <f t="shared" si="2"/>
        <v>31040</v>
      </c>
    </row>
    <row r="99" ht="14.25" customHeight="1">
      <c r="A99" s="113" t="s">
        <v>371</v>
      </c>
      <c r="B99" s="110">
        <v>29000.0</v>
      </c>
      <c r="C99" s="111">
        <f t="shared" si="2"/>
        <v>28130</v>
      </c>
    </row>
    <row r="100" ht="14.25" customHeight="1">
      <c r="A100" s="35" t="s">
        <v>374</v>
      </c>
      <c r="B100" s="18">
        <v>31000.0</v>
      </c>
      <c r="C100" s="22">
        <f t="shared" si="2"/>
        <v>30070</v>
      </c>
    </row>
    <row r="101" ht="14.25" customHeight="1">
      <c r="A101" s="108" t="s">
        <v>378</v>
      </c>
      <c r="B101" s="110">
        <v>31000.0</v>
      </c>
      <c r="C101" s="111">
        <f t="shared" si="2"/>
        <v>30070</v>
      </c>
    </row>
    <row r="102" ht="14.25" customHeight="1">
      <c r="A102" s="35" t="s">
        <v>380</v>
      </c>
      <c r="B102" s="18">
        <v>13900.0</v>
      </c>
      <c r="C102" s="22">
        <f t="shared" si="2"/>
        <v>13483</v>
      </c>
    </row>
    <row r="103" ht="14.25" customHeight="1">
      <c r="A103" s="113" t="s">
        <v>383</v>
      </c>
      <c r="B103" s="110">
        <v>31000.0</v>
      </c>
      <c r="C103" s="111">
        <f t="shared" si="2"/>
        <v>30070</v>
      </c>
    </row>
    <row r="104" ht="14.25" customHeight="1">
      <c r="A104" s="35" t="s">
        <v>394</v>
      </c>
      <c r="B104" s="18">
        <v>13900.0</v>
      </c>
      <c r="C104" s="22">
        <f t="shared" si="2"/>
        <v>13483</v>
      </c>
    </row>
    <row r="105" ht="14.25" customHeight="1">
      <c r="A105" s="108" t="s">
        <v>400</v>
      </c>
      <c r="B105" s="110">
        <v>29000.0</v>
      </c>
      <c r="C105" s="111">
        <f t="shared" si="2"/>
        <v>28130</v>
      </c>
    </row>
    <row r="106" ht="14.25" customHeight="1">
      <c r="A106" s="35" t="s">
        <v>402</v>
      </c>
      <c r="B106" s="18">
        <v>32000.0</v>
      </c>
      <c r="C106" s="22">
        <f t="shared" si="2"/>
        <v>31040</v>
      </c>
    </row>
    <row r="107" ht="14.25" customHeight="1">
      <c r="A107" s="108" t="s">
        <v>404</v>
      </c>
      <c r="B107" s="110">
        <v>13900.0</v>
      </c>
      <c r="C107" s="111">
        <f t="shared" si="2"/>
        <v>13483</v>
      </c>
    </row>
    <row r="108" ht="14.25" customHeight="1">
      <c r="A108" s="35" t="s">
        <v>405</v>
      </c>
      <c r="B108" s="18">
        <v>18900.0</v>
      </c>
      <c r="C108" s="22">
        <f t="shared" si="2"/>
        <v>18333</v>
      </c>
    </row>
    <row r="109" ht="14.25" customHeight="1">
      <c r="A109" s="108" t="s">
        <v>409</v>
      </c>
      <c r="B109" s="110">
        <v>12900.0</v>
      </c>
      <c r="C109" s="111">
        <f t="shared" si="2"/>
        <v>12513</v>
      </c>
    </row>
    <row r="110" ht="14.25" customHeight="1">
      <c r="A110" s="35" t="s">
        <v>415</v>
      </c>
      <c r="B110" s="18">
        <v>13900.0</v>
      </c>
      <c r="C110" s="22">
        <f t="shared" si="2"/>
        <v>13483</v>
      </c>
    </row>
    <row r="111" ht="14.25" customHeight="1">
      <c r="A111" s="108" t="s">
        <v>417</v>
      </c>
      <c r="B111" s="110">
        <v>19000.0</v>
      </c>
      <c r="C111" s="111">
        <f t="shared" si="2"/>
        <v>18430</v>
      </c>
    </row>
    <row r="112" ht="14.25" customHeight="1">
      <c r="A112" s="15" t="s">
        <v>419</v>
      </c>
      <c r="B112" s="74">
        <v>9000.0</v>
      </c>
      <c r="C112" s="22">
        <f t="shared" si="2"/>
        <v>8730</v>
      </c>
    </row>
    <row r="113" ht="14.25" customHeight="1">
      <c r="A113" s="113" t="s">
        <v>423</v>
      </c>
      <c r="B113" s="112">
        <v>9000.0</v>
      </c>
      <c r="C113" s="111">
        <f t="shared" si="2"/>
        <v>8730</v>
      </c>
    </row>
    <row r="114" ht="14.25" customHeight="1">
      <c r="A114" s="15" t="s">
        <v>425</v>
      </c>
      <c r="B114" s="74">
        <v>9900.0</v>
      </c>
      <c r="C114" s="22">
        <f t="shared" si="2"/>
        <v>9603</v>
      </c>
    </row>
    <row r="115" ht="47.25" customHeight="1">
      <c r="A115" s="139" t="s">
        <v>429</v>
      </c>
      <c r="B115" s="148"/>
      <c r="C115" s="149"/>
    </row>
    <row r="116" ht="14.25" customHeight="1">
      <c r="A116" s="15" t="s">
        <v>516</v>
      </c>
      <c r="B116" s="18">
        <v>9900.0</v>
      </c>
      <c r="C116" s="22">
        <f t="shared" ref="C116:C119" si="3">B116*0.97</f>
        <v>9603</v>
      </c>
    </row>
    <row r="117" ht="14.25" customHeight="1">
      <c r="A117" s="150" t="s">
        <v>526</v>
      </c>
      <c r="B117" s="151">
        <v>11900.0</v>
      </c>
      <c r="C117" s="152">
        <f t="shared" si="3"/>
        <v>11543</v>
      </c>
    </row>
    <row r="118" ht="14.25" customHeight="1">
      <c r="A118" s="15" t="s">
        <v>534</v>
      </c>
      <c r="B118" s="74">
        <v>11500.0</v>
      </c>
      <c r="C118" s="22">
        <f t="shared" si="3"/>
        <v>11155</v>
      </c>
    </row>
    <row r="119" ht="14.25" customHeight="1">
      <c r="A119" s="150" t="s">
        <v>537</v>
      </c>
      <c r="B119" s="154">
        <v>10900.0</v>
      </c>
      <c r="C119" s="152">
        <f t="shared" si="3"/>
        <v>10573</v>
      </c>
    </row>
    <row r="120" ht="48.75" customHeight="1">
      <c r="A120" s="155" t="s">
        <v>559</v>
      </c>
      <c r="B120" s="156"/>
      <c r="C120" s="157"/>
    </row>
    <row r="121" ht="14.25" customHeight="1">
      <c r="A121" s="67" t="s">
        <v>567</v>
      </c>
      <c r="B121" s="158">
        <v>11900.0</v>
      </c>
      <c r="C121" s="159">
        <f t="shared" ref="C121:C145" si="4">B121*0.97</f>
        <v>11543</v>
      </c>
    </row>
    <row r="122" ht="14.25" customHeight="1">
      <c r="A122" s="160" t="s">
        <v>572</v>
      </c>
      <c r="B122" s="162">
        <v>11900.0</v>
      </c>
      <c r="C122" s="164">
        <f t="shared" si="4"/>
        <v>11543</v>
      </c>
    </row>
    <row r="123" ht="14.25" customHeight="1">
      <c r="A123" s="55" t="s">
        <v>595</v>
      </c>
      <c r="B123" s="120">
        <v>12900.0</v>
      </c>
      <c r="C123" s="159">
        <f t="shared" si="4"/>
        <v>12513</v>
      </c>
    </row>
    <row r="124" ht="14.25" customHeight="1">
      <c r="A124" s="165" t="s">
        <v>596</v>
      </c>
      <c r="B124" s="166">
        <v>12900.0</v>
      </c>
      <c r="C124" s="164">
        <f t="shared" si="4"/>
        <v>12513</v>
      </c>
    </row>
    <row r="125" ht="14.25" customHeight="1">
      <c r="A125" s="67" t="s">
        <v>598</v>
      </c>
      <c r="B125" s="120">
        <v>11900.0</v>
      </c>
      <c r="C125" s="159">
        <f t="shared" si="4"/>
        <v>11543</v>
      </c>
    </row>
    <row r="126" ht="14.25" customHeight="1">
      <c r="A126" s="160" t="s">
        <v>599</v>
      </c>
      <c r="B126" s="166">
        <v>12900.0</v>
      </c>
      <c r="C126" s="164">
        <f t="shared" si="4"/>
        <v>12513</v>
      </c>
    </row>
    <row r="127" ht="14.25" customHeight="1">
      <c r="A127" s="167" t="s">
        <v>601</v>
      </c>
      <c r="B127" s="120">
        <v>10900.0</v>
      </c>
      <c r="C127" s="159">
        <f t="shared" si="4"/>
        <v>10573</v>
      </c>
    </row>
    <row r="128" ht="14.25" customHeight="1">
      <c r="A128" s="160" t="s">
        <v>604</v>
      </c>
      <c r="B128" s="162">
        <v>11900.0</v>
      </c>
      <c r="C128" s="164">
        <f t="shared" si="4"/>
        <v>11543</v>
      </c>
    </row>
    <row r="129" ht="14.25" customHeight="1">
      <c r="A129" s="55" t="s">
        <v>607</v>
      </c>
      <c r="B129" s="120">
        <v>12900.0</v>
      </c>
      <c r="C129" s="159">
        <f t="shared" si="4"/>
        <v>12513</v>
      </c>
    </row>
    <row r="130" ht="14.25" customHeight="1">
      <c r="A130" s="168" t="s">
        <v>610</v>
      </c>
      <c r="B130" s="166">
        <v>12900.0</v>
      </c>
      <c r="C130" s="164">
        <f t="shared" si="4"/>
        <v>12513</v>
      </c>
    </row>
    <row r="131" ht="14.25" customHeight="1">
      <c r="A131" s="67" t="s">
        <v>614</v>
      </c>
      <c r="B131" s="120">
        <v>10900.0</v>
      </c>
      <c r="C131" s="159">
        <f t="shared" si="4"/>
        <v>10573</v>
      </c>
    </row>
    <row r="132" ht="14.25" customHeight="1">
      <c r="A132" s="160" t="s">
        <v>616</v>
      </c>
      <c r="B132" s="166">
        <v>9900.0</v>
      </c>
      <c r="C132" s="164">
        <f t="shared" si="4"/>
        <v>9603</v>
      </c>
    </row>
    <row r="133" ht="14.25" customHeight="1">
      <c r="A133" s="67" t="s">
        <v>618</v>
      </c>
      <c r="B133" s="120">
        <v>10900.0</v>
      </c>
      <c r="C133" s="159">
        <f t="shared" si="4"/>
        <v>10573</v>
      </c>
    </row>
    <row r="134" ht="14.25" customHeight="1">
      <c r="A134" s="160" t="s">
        <v>620</v>
      </c>
      <c r="B134" s="166">
        <v>10900.0</v>
      </c>
      <c r="C134" s="164">
        <f t="shared" si="4"/>
        <v>10573</v>
      </c>
    </row>
    <row r="135" ht="14.25" customHeight="1">
      <c r="A135" s="67" t="s">
        <v>622</v>
      </c>
      <c r="B135" s="120">
        <v>12900.0</v>
      </c>
      <c r="C135" s="159">
        <f t="shared" si="4"/>
        <v>12513</v>
      </c>
    </row>
    <row r="136" ht="14.25" customHeight="1">
      <c r="A136" s="160" t="s">
        <v>624</v>
      </c>
      <c r="B136" s="162">
        <v>11900.0</v>
      </c>
      <c r="C136" s="164">
        <f t="shared" si="4"/>
        <v>11543</v>
      </c>
    </row>
    <row r="137" ht="14.25" customHeight="1">
      <c r="A137" s="55" t="s">
        <v>626</v>
      </c>
      <c r="B137" s="158">
        <v>13900.0</v>
      </c>
      <c r="C137" s="159">
        <f t="shared" si="4"/>
        <v>13483</v>
      </c>
    </row>
    <row r="138" ht="14.25" customHeight="1">
      <c r="A138" s="160" t="s">
        <v>628</v>
      </c>
      <c r="B138" s="162">
        <v>11900.0</v>
      </c>
      <c r="C138" s="164">
        <f t="shared" si="4"/>
        <v>11543</v>
      </c>
    </row>
    <row r="139" ht="14.25" customHeight="1">
      <c r="A139" s="55" t="s">
        <v>631</v>
      </c>
      <c r="B139" s="120">
        <v>11900.0</v>
      </c>
      <c r="C139" s="159">
        <f t="shared" si="4"/>
        <v>11543</v>
      </c>
    </row>
    <row r="140" ht="14.25" customHeight="1">
      <c r="A140" s="168" t="s">
        <v>633</v>
      </c>
      <c r="B140" s="166">
        <v>13900.0</v>
      </c>
      <c r="C140" s="164">
        <f t="shared" si="4"/>
        <v>13483</v>
      </c>
    </row>
    <row r="141" ht="14.25" customHeight="1">
      <c r="A141" s="55" t="s">
        <v>635</v>
      </c>
      <c r="B141" s="120">
        <v>17000.0</v>
      </c>
      <c r="C141" s="159">
        <f t="shared" si="4"/>
        <v>16490</v>
      </c>
    </row>
    <row r="142" ht="14.25" customHeight="1">
      <c r="A142" s="168" t="s">
        <v>637</v>
      </c>
      <c r="B142" s="166">
        <v>13900.0</v>
      </c>
      <c r="C142" s="164">
        <f t="shared" si="4"/>
        <v>13483</v>
      </c>
    </row>
    <row r="143" ht="14.25" customHeight="1">
      <c r="A143" s="55" t="s">
        <v>639</v>
      </c>
      <c r="B143" s="120">
        <v>11900.0</v>
      </c>
      <c r="C143" s="159">
        <f t="shared" si="4"/>
        <v>11543</v>
      </c>
    </row>
    <row r="144" ht="14.25" customHeight="1">
      <c r="A144" s="168" t="s">
        <v>642</v>
      </c>
      <c r="B144" s="166">
        <v>11900.0</v>
      </c>
      <c r="C144" s="164">
        <f t="shared" si="4"/>
        <v>11543</v>
      </c>
    </row>
    <row r="145" ht="14.25" customHeight="1">
      <c r="A145" s="67" t="s">
        <v>647</v>
      </c>
      <c r="B145" s="158">
        <v>13900.0</v>
      </c>
      <c r="C145" s="159">
        <f t="shared" si="4"/>
        <v>13483</v>
      </c>
    </row>
    <row r="146" ht="57.0" customHeight="1">
      <c r="A146" s="174" t="s">
        <v>648</v>
      </c>
      <c r="B146" s="180"/>
      <c r="C146" s="182"/>
    </row>
    <row r="147" ht="14.25" customHeight="1">
      <c r="A147" s="15" t="s">
        <v>699</v>
      </c>
      <c r="B147" s="74">
        <v>10900.0</v>
      </c>
      <c r="C147" s="22">
        <f t="shared" ref="C147:C185" si="5">B147*0.97</f>
        <v>10573</v>
      </c>
    </row>
    <row r="148" ht="14.25" customHeight="1">
      <c r="A148" s="185">
        <v>6.0</v>
      </c>
      <c r="B148" s="187">
        <v>10900.0</v>
      </c>
      <c r="C148" s="188">
        <f t="shared" si="5"/>
        <v>10573</v>
      </c>
    </row>
    <row r="149" ht="14.25" customHeight="1">
      <c r="A149" s="15" t="s">
        <v>738</v>
      </c>
      <c r="B149" s="74">
        <v>10900.0</v>
      </c>
      <c r="C149" s="22">
        <f t="shared" si="5"/>
        <v>10573</v>
      </c>
    </row>
    <row r="150" ht="14.25" customHeight="1">
      <c r="A150" s="189" t="s">
        <v>742</v>
      </c>
      <c r="B150" s="187">
        <v>10900.0</v>
      </c>
      <c r="C150" s="188">
        <f t="shared" si="5"/>
        <v>10573</v>
      </c>
    </row>
    <row r="151" ht="14.25" customHeight="1">
      <c r="A151" s="190" t="s">
        <v>747</v>
      </c>
      <c r="B151" s="74">
        <v>10500.0</v>
      </c>
      <c r="C151" s="22">
        <f t="shared" si="5"/>
        <v>10185</v>
      </c>
    </row>
    <row r="152" ht="14.25" customHeight="1">
      <c r="A152" s="193" t="s">
        <v>750</v>
      </c>
      <c r="B152" s="195">
        <v>10500.0</v>
      </c>
      <c r="C152" s="188">
        <f t="shared" si="5"/>
        <v>10185</v>
      </c>
    </row>
    <row r="153" ht="14.25" customHeight="1">
      <c r="A153" s="190" t="s">
        <v>776</v>
      </c>
      <c r="B153" s="74">
        <v>10500.0</v>
      </c>
      <c r="C153" s="22">
        <f t="shared" si="5"/>
        <v>10185</v>
      </c>
    </row>
    <row r="154" ht="14.25" customHeight="1">
      <c r="A154" s="193" t="s">
        <v>780</v>
      </c>
      <c r="B154" s="195">
        <v>10500.0</v>
      </c>
      <c r="C154" s="188">
        <f t="shared" si="5"/>
        <v>10185</v>
      </c>
    </row>
    <row r="155" ht="14.25" customHeight="1">
      <c r="A155" s="35" t="s">
        <v>782</v>
      </c>
      <c r="B155" s="18">
        <v>16500.0</v>
      </c>
      <c r="C155" s="22">
        <f t="shared" si="5"/>
        <v>16005</v>
      </c>
    </row>
    <row r="156" ht="14.25" customHeight="1">
      <c r="A156" s="193" t="s">
        <v>785</v>
      </c>
      <c r="B156" s="195">
        <v>17500.0</v>
      </c>
      <c r="C156" s="188">
        <f t="shared" si="5"/>
        <v>16975</v>
      </c>
    </row>
    <row r="157" ht="14.25" customHeight="1">
      <c r="A157" s="35" t="s">
        <v>786</v>
      </c>
      <c r="B157" s="18">
        <v>18900.0</v>
      </c>
      <c r="C157" s="22">
        <f t="shared" si="5"/>
        <v>18333</v>
      </c>
    </row>
    <row r="158" ht="14.25" customHeight="1">
      <c r="A158" s="193" t="s">
        <v>789</v>
      </c>
      <c r="B158" s="195">
        <v>16900.0</v>
      </c>
      <c r="C158" s="188">
        <f t="shared" si="5"/>
        <v>16393</v>
      </c>
    </row>
    <row r="159" ht="16.5" customHeight="1">
      <c r="A159" s="190" t="s">
        <v>792</v>
      </c>
      <c r="B159" s="18">
        <v>15900.0</v>
      </c>
      <c r="C159" s="22">
        <f t="shared" si="5"/>
        <v>15423</v>
      </c>
    </row>
    <row r="160" ht="14.25" customHeight="1">
      <c r="A160" s="202" t="s">
        <v>794</v>
      </c>
      <c r="B160" s="195">
        <v>16900.0</v>
      </c>
      <c r="C160" s="188">
        <f t="shared" si="5"/>
        <v>16393</v>
      </c>
    </row>
    <row r="161" ht="14.25" customHeight="1">
      <c r="A161" s="35" t="s">
        <v>799</v>
      </c>
      <c r="B161" s="18">
        <v>17900.0</v>
      </c>
      <c r="C161" s="22">
        <f t="shared" si="5"/>
        <v>17363</v>
      </c>
    </row>
    <row r="162" ht="14.25" customHeight="1">
      <c r="A162" s="193" t="s">
        <v>800</v>
      </c>
      <c r="B162" s="195">
        <v>16900.0</v>
      </c>
      <c r="C162" s="188">
        <f t="shared" si="5"/>
        <v>16393</v>
      </c>
    </row>
    <row r="163" ht="14.25" customHeight="1">
      <c r="A163" s="35" t="s">
        <v>803</v>
      </c>
      <c r="B163" s="18">
        <v>17900.0</v>
      </c>
      <c r="C163" s="22">
        <f t="shared" si="5"/>
        <v>17363</v>
      </c>
    </row>
    <row r="164" ht="14.25" customHeight="1">
      <c r="A164" s="193" t="s">
        <v>806</v>
      </c>
      <c r="B164" s="195">
        <v>19900.0</v>
      </c>
      <c r="C164" s="188">
        <f t="shared" si="5"/>
        <v>19303</v>
      </c>
    </row>
    <row r="165" ht="14.25" customHeight="1">
      <c r="A165" s="35" t="s">
        <v>808</v>
      </c>
      <c r="B165" s="18">
        <v>18900.0</v>
      </c>
      <c r="C165" s="22">
        <f t="shared" si="5"/>
        <v>18333</v>
      </c>
    </row>
    <row r="166" ht="14.25" customHeight="1">
      <c r="A166" s="193" t="s">
        <v>809</v>
      </c>
      <c r="B166" s="195">
        <v>47900.0</v>
      </c>
      <c r="C166" s="188">
        <f t="shared" si="5"/>
        <v>46463</v>
      </c>
      <c r="D166" s="34" t="s">
        <v>42</v>
      </c>
    </row>
    <row r="167" ht="14.25" customHeight="1">
      <c r="A167" s="35" t="s">
        <v>811</v>
      </c>
      <c r="B167" s="18">
        <v>19500.0</v>
      </c>
      <c r="C167" s="22">
        <f t="shared" si="5"/>
        <v>18915</v>
      </c>
      <c r="D167" s="34"/>
    </row>
    <row r="168" ht="14.25" customHeight="1">
      <c r="A168" s="202" t="s">
        <v>813</v>
      </c>
      <c r="B168" s="195">
        <v>47900.0</v>
      </c>
      <c r="C168" s="188">
        <f t="shared" si="5"/>
        <v>46463</v>
      </c>
      <c r="D168" s="34" t="s">
        <v>42</v>
      </c>
    </row>
    <row r="169" ht="14.25" customHeight="1">
      <c r="A169" s="190" t="s">
        <v>815</v>
      </c>
      <c r="B169" s="18">
        <v>19500.0</v>
      </c>
      <c r="C169" s="22">
        <f t="shared" si="5"/>
        <v>18915</v>
      </c>
    </row>
    <row r="170" ht="14.25" customHeight="1">
      <c r="A170" s="193" t="s">
        <v>817</v>
      </c>
      <c r="B170" s="195">
        <v>18500.0</v>
      </c>
      <c r="C170" s="188">
        <f t="shared" si="5"/>
        <v>17945</v>
      </c>
      <c r="D170" s="34"/>
    </row>
    <row r="171" ht="14.25" customHeight="1">
      <c r="A171" s="35" t="s">
        <v>819</v>
      </c>
      <c r="B171" s="18">
        <v>47900.0</v>
      </c>
      <c r="C171" s="22">
        <f t="shared" si="5"/>
        <v>46463</v>
      </c>
      <c r="D171" s="34" t="s">
        <v>42</v>
      </c>
    </row>
    <row r="172" ht="14.25" customHeight="1">
      <c r="A172" s="193" t="s">
        <v>821</v>
      </c>
      <c r="B172" s="195">
        <v>19500.0</v>
      </c>
      <c r="C172" s="188">
        <f t="shared" si="5"/>
        <v>18915</v>
      </c>
    </row>
    <row r="173" ht="14.25" customHeight="1">
      <c r="A173" s="35" t="s">
        <v>823</v>
      </c>
      <c r="B173" s="18">
        <v>47900.0</v>
      </c>
      <c r="C173" s="22">
        <f t="shared" si="5"/>
        <v>46463</v>
      </c>
      <c r="D173" s="34" t="s">
        <v>42</v>
      </c>
    </row>
    <row r="174" ht="14.25" customHeight="1">
      <c r="A174" s="193" t="s">
        <v>825</v>
      </c>
      <c r="B174" s="195">
        <v>19500.0</v>
      </c>
      <c r="C174" s="188">
        <f t="shared" si="5"/>
        <v>18915</v>
      </c>
    </row>
    <row r="175" ht="14.25" customHeight="1">
      <c r="A175" s="35" t="s">
        <v>827</v>
      </c>
      <c r="B175" s="18">
        <v>47900.0</v>
      </c>
      <c r="C175" s="22">
        <f t="shared" si="5"/>
        <v>46463</v>
      </c>
      <c r="D175" s="34" t="s">
        <v>42</v>
      </c>
    </row>
    <row r="176" ht="14.25" customHeight="1">
      <c r="A176" s="193" t="s">
        <v>828</v>
      </c>
      <c r="B176" s="195">
        <v>16900.0</v>
      </c>
      <c r="C176" s="188">
        <f t="shared" si="5"/>
        <v>16393</v>
      </c>
    </row>
    <row r="177" ht="14.25" customHeight="1">
      <c r="A177" s="35" t="s">
        <v>829</v>
      </c>
      <c r="B177" s="18">
        <v>47900.0</v>
      </c>
      <c r="C177" s="22">
        <f t="shared" si="5"/>
        <v>46463</v>
      </c>
      <c r="D177" s="34" t="s">
        <v>42</v>
      </c>
    </row>
    <row r="178" ht="14.25" customHeight="1">
      <c r="A178" s="193" t="s">
        <v>831</v>
      </c>
      <c r="B178" s="195">
        <v>47900.0</v>
      </c>
      <c r="C178" s="188">
        <f t="shared" si="5"/>
        <v>46463</v>
      </c>
      <c r="D178" s="34" t="s">
        <v>42</v>
      </c>
    </row>
    <row r="179" ht="14.25" customHeight="1">
      <c r="A179" s="35" t="s">
        <v>832</v>
      </c>
      <c r="B179" s="18">
        <v>17900.0</v>
      </c>
      <c r="C179" s="22">
        <f t="shared" si="5"/>
        <v>17363</v>
      </c>
    </row>
    <row r="180" ht="14.25" customHeight="1">
      <c r="A180" s="193" t="s">
        <v>833</v>
      </c>
      <c r="B180" s="195">
        <v>16900.0</v>
      </c>
      <c r="C180" s="188">
        <f t="shared" si="5"/>
        <v>16393</v>
      </c>
    </row>
    <row r="181" ht="14.25" customHeight="1">
      <c r="A181" s="35" t="s">
        <v>834</v>
      </c>
      <c r="B181" s="18">
        <v>17900.0</v>
      </c>
      <c r="C181" s="22">
        <f t="shared" si="5"/>
        <v>17363</v>
      </c>
    </row>
    <row r="182" ht="14.25" customHeight="1">
      <c r="A182" s="193" t="s">
        <v>835</v>
      </c>
      <c r="B182" s="195">
        <v>17900.0</v>
      </c>
      <c r="C182" s="188">
        <f t="shared" si="5"/>
        <v>17363</v>
      </c>
    </row>
    <row r="183" ht="14.25" customHeight="1">
      <c r="A183" s="190" t="s">
        <v>837</v>
      </c>
      <c r="B183" s="18">
        <v>19500.0</v>
      </c>
      <c r="C183" s="22">
        <f t="shared" si="5"/>
        <v>18915</v>
      </c>
    </row>
    <row r="184" ht="14.25" customHeight="1">
      <c r="A184" s="193" t="s">
        <v>838</v>
      </c>
      <c r="B184" s="195">
        <v>20500.0</v>
      </c>
      <c r="C184" s="188">
        <f t="shared" si="5"/>
        <v>19885</v>
      </c>
    </row>
    <row r="185" ht="14.25" customHeight="1">
      <c r="A185" s="35" t="s">
        <v>840</v>
      </c>
      <c r="B185" s="18">
        <v>23000.0</v>
      </c>
      <c r="C185" s="22">
        <f t="shared" si="5"/>
        <v>22310</v>
      </c>
    </row>
    <row r="186" ht="50.25" customHeight="1">
      <c r="A186" s="212" t="s">
        <v>842</v>
      </c>
      <c r="B186" s="213"/>
      <c r="C186" s="214"/>
    </row>
    <row r="187" ht="14.25" customHeight="1">
      <c r="A187" s="219" t="s">
        <v>845</v>
      </c>
      <c r="B187" s="18">
        <v>13900.0</v>
      </c>
      <c r="C187" s="18">
        <v>13500.0</v>
      </c>
    </row>
    <row r="188" ht="14.25" customHeight="1">
      <c r="A188" s="221" t="s">
        <v>868</v>
      </c>
      <c r="B188" s="222">
        <v>13900.0</v>
      </c>
      <c r="C188" s="222">
        <v>13500.0</v>
      </c>
    </row>
    <row r="189" ht="14.25" customHeight="1">
      <c r="A189" s="219" t="s">
        <v>872</v>
      </c>
      <c r="B189" s="18">
        <v>13900.0</v>
      </c>
      <c r="C189" s="18">
        <v>13500.0</v>
      </c>
    </row>
    <row r="190" ht="14.25" customHeight="1">
      <c r="A190" s="221" t="s">
        <v>873</v>
      </c>
      <c r="B190" s="222">
        <v>14900.0</v>
      </c>
      <c r="C190" s="222">
        <v>14500.0</v>
      </c>
    </row>
    <row r="191" ht="14.25" customHeight="1">
      <c r="A191" s="225" t="s">
        <v>875</v>
      </c>
      <c r="B191" s="239"/>
      <c r="C191" s="241"/>
    </row>
    <row r="192" ht="19.5" customHeight="1">
      <c r="A192" s="245" t="s">
        <v>893</v>
      </c>
      <c r="B192" s="248">
        <v>32900.0</v>
      </c>
      <c r="C192" s="248">
        <f t="shared" ref="C192:C200" si="6">B192*0.97</f>
        <v>31913</v>
      </c>
    </row>
    <row r="193" ht="16.5" customHeight="1">
      <c r="A193" s="250" t="s">
        <v>909</v>
      </c>
      <c r="B193" s="251">
        <v>30000.0</v>
      </c>
      <c r="C193" s="251">
        <f t="shared" si="6"/>
        <v>29100</v>
      </c>
    </row>
    <row r="194" ht="16.5" customHeight="1">
      <c r="A194" s="245" t="s">
        <v>911</v>
      </c>
      <c r="B194" s="248">
        <v>31900.0</v>
      </c>
      <c r="C194" s="248">
        <f t="shared" si="6"/>
        <v>30943</v>
      </c>
    </row>
    <row r="195" ht="15.0" customHeight="1">
      <c r="A195" s="250" t="s">
        <v>912</v>
      </c>
      <c r="B195" s="251">
        <v>31000.0</v>
      </c>
      <c r="C195" s="251">
        <f t="shared" si="6"/>
        <v>30070</v>
      </c>
    </row>
    <row r="196" ht="18.0" customHeight="1">
      <c r="A196" s="245" t="s">
        <v>913</v>
      </c>
      <c r="B196" s="248">
        <v>29000.0</v>
      </c>
      <c r="C196" s="248">
        <f t="shared" si="6"/>
        <v>28130</v>
      </c>
    </row>
    <row r="197" ht="18.0" customHeight="1">
      <c r="A197" s="250" t="s">
        <v>914</v>
      </c>
      <c r="B197" s="251">
        <v>29000.0</v>
      </c>
      <c r="C197" s="251">
        <f t="shared" si="6"/>
        <v>28130</v>
      </c>
    </row>
    <row r="198" ht="18.0" customHeight="1">
      <c r="A198" s="245" t="s">
        <v>915</v>
      </c>
      <c r="B198" s="248">
        <v>39500.0</v>
      </c>
      <c r="C198" s="248">
        <f t="shared" si="6"/>
        <v>38315</v>
      </c>
    </row>
    <row r="199" ht="18.0" customHeight="1">
      <c r="A199" s="250" t="s">
        <v>916</v>
      </c>
      <c r="B199" s="251">
        <v>39500.0</v>
      </c>
      <c r="C199" s="251">
        <f t="shared" si="6"/>
        <v>38315</v>
      </c>
    </row>
    <row r="200" ht="18.0" customHeight="1">
      <c r="A200" s="245" t="s">
        <v>917</v>
      </c>
      <c r="B200" s="248">
        <v>39500.0</v>
      </c>
      <c r="C200" s="248">
        <f t="shared" si="6"/>
        <v>38315</v>
      </c>
    </row>
    <row r="201" ht="18.0" customHeight="1">
      <c r="A201" s="256"/>
      <c r="B201" s="18"/>
      <c r="C201" s="18"/>
    </row>
    <row r="202" ht="18.0" customHeight="1">
      <c r="A202" s="258"/>
      <c r="B202" s="222"/>
      <c r="C202" s="222"/>
    </row>
    <row r="203" ht="18.0" customHeight="1">
      <c r="A203" s="219"/>
      <c r="B203" s="18"/>
      <c r="C203" s="18"/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</sheetData>
  <mergeCells count="8">
    <mergeCell ref="A1:C1"/>
    <mergeCell ref="A3:C3"/>
    <mergeCell ref="A55:C55"/>
    <mergeCell ref="A115:C115"/>
    <mergeCell ref="A120:C120"/>
    <mergeCell ref="A146:C146"/>
    <mergeCell ref="A186:C186"/>
    <mergeCell ref="A191:C19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workbookViewId="0"/>
  </sheetViews>
  <sheetFormatPr customHeight="1" defaultColWidth="12.63" defaultRowHeight="15.0"/>
  <cols>
    <col customWidth="1" min="1" max="1" width="56.13"/>
    <col customWidth="1" min="2" max="2" width="13.5"/>
    <col customWidth="1" min="3" max="3" width="12.88"/>
    <col customWidth="1" hidden="1" min="4" max="4" width="10.25"/>
    <col customWidth="1" min="5" max="6" width="10.5"/>
    <col customWidth="1" min="7" max="7" width="15.0"/>
    <col customWidth="1" min="8" max="9" width="10.5"/>
    <col customWidth="1" min="10" max="26" width="10.25"/>
  </cols>
  <sheetData>
    <row r="1" ht="69.0" customHeight="1">
      <c r="A1" s="7" t="s">
        <v>1</v>
      </c>
      <c r="B1" s="9"/>
      <c r="C1" s="9"/>
      <c r="D1" s="11"/>
    </row>
    <row r="2" ht="45.75" customHeight="1">
      <c r="A2" s="14" t="s">
        <v>5</v>
      </c>
      <c r="B2" s="16"/>
      <c r="C2" s="17"/>
      <c r="D2" s="19" t="s">
        <v>7</v>
      </c>
    </row>
    <row r="3" ht="14.25" customHeight="1">
      <c r="A3" s="20" t="s">
        <v>8</v>
      </c>
      <c r="B3" s="21" t="s">
        <v>9</v>
      </c>
      <c r="C3" s="23" t="s">
        <v>4</v>
      </c>
      <c r="D3" s="25"/>
    </row>
    <row r="4" ht="14.25" customHeight="1">
      <c r="A4" s="27" t="s">
        <v>11</v>
      </c>
      <c r="B4" s="29">
        <v>4000.0</v>
      </c>
      <c r="C4" s="31">
        <f t="shared" ref="C4:C91" si="1">B4*0.97</f>
        <v>3880</v>
      </c>
      <c r="D4" s="37"/>
    </row>
    <row r="5" ht="14.25" customHeight="1">
      <c r="A5" s="27" t="s">
        <v>15</v>
      </c>
      <c r="B5" s="29">
        <v>4000.0</v>
      </c>
      <c r="C5" s="31">
        <f t="shared" si="1"/>
        <v>3880</v>
      </c>
      <c r="D5" s="37"/>
    </row>
    <row r="6" ht="14.25" customHeight="1">
      <c r="A6" s="27" t="s">
        <v>16</v>
      </c>
      <c r="B6" s="29">
        <v>4300.0</v>
      </c>
      <c r="C6" s="31">
        <f t="shared" si="1"/>
        <v>4171</v>
      </c>
      <c r="D6" s="37"/>
    </row>
    <row r="7" ht="14.25" customHeight="1">
      <c r="A7" s="27" t="s">
        <v>18</v>
      </c>
      <c r="B7" s="29">
        <v>4000.0</v>
      </c>
      <c r="C7" s="31">
        <f t="shared" si="1"/>
        <v>3880</v>
      </c>
      <c r="D7" s="37"/>
    </row>
    <row r="8" ht="14.25" customHeight="1">
      <c r="A8" s="41" t="s">
        <v>19</v>
      </c>
      <c r="B8" s="42">
        <v>12500.0</v>
      </c>
      <c r="C8" s="43">
        <f t="shared" si="1"/>
        <v>12125</v>
      </c>
      <c r="D8" s="37"/>
      <c r="F8" s="44"/>
      <c r="G8" s="44"/>
    </row>
    <row r="9" ht="14.25" customHeight="1">
      <c r="A9" s="27" t="s">
        <v>23</v>
      </c>
      <c r="B9" s="29">
        <v>4000.0</v>
      </c>
      <c r="C9" s="31">
        <f t="shared" si="1"/>
        <v>3880</v>
      </c>
      <c r="D9" s="37"/>
      <c r="F9" s="44"/>
      <c r="G9" s="44"/>
    </row>
    <row r="10" ht="14.25" customHeight="1">
      <c r="A10" s="50" t="s">
        <v>25</v>
      </c>
      <c r="B10" s="75">
        <v>4000.0</v>
      </c>
      <c r="C10" s="31">
        <f t="shared" si="1"/>
        <v>3880</v>
      </c>
      <c r="D10" s="37"/>
    </row>
    <row r="11" ht="14.25" customHeight="1">
      <c r="A11" s="76" t="s">
        <v>69</v>
      </c>
      <c r="B11" s="77">
        <v>12500.0</v>
      </c>
      <c r="C11" s="78">
        <f t="shared" si="1"/>
        <v>12125</v>
      </c>
      <c r="D11" s="37"/>
    </row>
    <row r="12" ht="14.25" customHeight="1">
      <c r="A12" s="27" t="s">
        <v>70</v>
      </c>
      <c r="B12" s="75">
        <v>4000.0</v>
      </c>
      <c r="C12" s="31">
        <f t="shared" si="1"/>
        <v>3880</v>
      </c>
      <c r="D12" s="37"/>
    </row>
    <row r="13" ht="14.25" customHeight="1">
      <c r="A13" s="27" t="s">
        <v>71</v>
      </c>
      <c r="B13" s="75">
        <v>4500.0</v>
      </c>
      <c r="C13" s="31">
        <f t="shared" si="1"/>
        <v>4365</v>
      </c>
      <c r="D13" s="37"/>
    </row>
    <row r="14" ht="14.25" customHeight="1">
      <c r="A14" s="41" t="s">
        <v>73</v>
      </c>
      <c r="B14" s="42">
        <v>12500.0</v>
      </c>
      <c r="C14" s="43">
        <f t="shared" si="1"/>
        <v>12125</v>
      </c>
      <c r="D14" s="37"/>
    </row>
    <row r="15" ht="14.25" customHeight="1">
      <c r="A15" s="27" t="s">
        <v>74</v>
      </c>
      <c r="B15" s="75">
        <v>4000.0</v>
      </c>
      <c r="C15" s="31">
        <f t="shared" si="1"/>
        <v>3880</v>
      </c>
      <c r="D15" s="37"/>
    </row>
    <row r="16" ht="14.25" customHeight="1">
      <c r="A16" s="81" t="s">
        <v>75</v>
      </c>
      <c r="B16" s="84">
        <v>12500.0</v>
      </c>
      <c r="C16" s="87">
        <f t="shared" si="1"/>
        <v>12125</v>
      </c>
      <c r="D16" s="37"/>
    </row>
    <row r="17" ht="14.25" customHeight="1">
      <c r="A17" s="27" t="s">
        <v>81</v>
      </c>
      <c r="B17" s="75">
        <v>5000.0</v>
      </c>
      <c r="C17" s="31">
        <f t="shared" si="1"/>
        <v>4850</v>
      </c>
      <c r="D17" s="37"/>
    </row>
    <row r="18" ht="14.25" customHeight="1">
      <c r="A18" s="81" t="s">
        <v>82</v>
      </c>
      <c r="B18" s="84">
        <v>12500.0</v>
      </c>
      <c r="C18" s="87">
        <f t="shared" si="1"/>
        <v>12125</v>
      </c>
      <c r="D18" s="37"/>
    </row>
    <row r="19" ht="14.25" customHeight="1">
      <c r="A19" s="27" t="s">
        <v>85</v>
      </c>
      <c r="B19" s="29">
        <v>4000.0</v>
      </c>
      <c r="C19" s="31">
        <f t="shared" si="1"/>
        <v>3880</v>
      </c>
      <c r="D19" s="37"/>
    </row>
    <row r="20" ht="14.25" customHeight="1">
      <c r="A20" s="27" t="s">
        <v>89</v>
      </c>
      <c r="B20" s="29">
        <v>4000.0</v>
      </c>
      <c r="C20" s="31">
        <f t="shared" si="1"/>
        <v>3880</v>
      </c>
      <c r="D20" s="37"/>
    </row>
    <row r="21" ht="14.25" customHeight="1">
      <c r="A21" s="27" t="s">
        <v>91</v>
      </c>
      <c r="B21" s="29">
        <v>4500.0</v>
      </c>
      <c r="C21" s="31">
        <f t="shared" si="1"/>
        <v>4365</v>
      </c>
      <c r="D21" s="37"/>
    </row>
    <row r="22" ht="14.25" customHeight="1">
      <c r="A22" s="27" t="s">
        <v>97</v>
      </c>
      <c r="B22" s="75">
        <v>4000.0</v>
      </c>
      <c r="C22" s="31">
        <f t="shared" si="1"/>
        <v>3880</v>
      </c>
      <c r="D22" s="37"/>
    </row>
    <row r="23" ht="14.25" customHeight="1">
      <c r="A23" s="92" t="s">
        <v>101</v>
      </c>
      <c r="B23" s="93">
        <v>12500.0</v>
      </c>
      <c r="C23" s="94">
        <f t="shared" si="1"/>
        <v>12125</v>
      </c>
      <c r="D23" s="37"/>
    </row>
    <row r="24" ht="14.25" customHeight="1">
      <c r="A24" s="27" t="s">
        <v>107</v>
      </c>
      <c r="B24" s="75">
        <v>4000.0</v>
      </c>
      <c r="C24" s="31">
        <f t="shared" si="1"/>
        <v>3880</v>
      </c>
      <c r="D24" s="37"/>
    </row>
    <row r="25" ht="14.25" customHeight="1">
      <c r="A25" s="92" t="s">
        <v>110</v>
      </c>
      <c r="B25" s="93">
        <v>12500.0</v>
      </c>
      <c r="C25" s="94">
        <f t="shared" si="1"/>
        <v>12125</v>
      </c>
      <c r="D25" s="37"/>
    </row>
    <row r="26" ht="14.25" customHeight="1">
      <c r="A26" s="27" t="s">
        <v>112</v>
      </c>
      <c r="B26" s="29">
        <v>5000.0</v>
      </c>
      <c r="C26" s="31">
        <f t="shared" si="1"/>
        <v>4850</v>
      </c>
      <c r="D26" s="37"/>
    </row>
    <row r="27" ht="14.25" customHeight="1">
      <c r="A27" s="27" t="s">
        <v>114</v>
      </c>
      <c r="B27" s="29">
        <v>5000.0</v>
      </c>
      <c r="C27" s="31">
        <f t="shared" si="1"/>
        <v>4850</v>
      </c>
      <c r="D27" s="37"/>
    </row>
    <row r="28" ht="14.25" customHeight="1">
      <c r="A28" s="27" t="s">
        <v>116</v>
      </c>
      <c r="B28" s="75">
        <v>4500.0</v>
      </c>
      <c r="C28" s="31">
        <f t="shared" si="1"/>
        <v>4365</v>
      </c>
      <c r="D28" s="37"/>
    </row>
    <row r="29" ht="14.25" customHeight="1">
      <c r="A29" s="27" t="s">
        <v>120</v>
      </c>
      <c r="B29" s="75">
        <v>5000.0</v>
      </c>
      <c r="C29" s="31">
        <f t="shared" si="1"/>
        <v>4850</v>
      </c>
      <c r="D29" s="37"/>
    </row>
    <row r="30" ht="14.25" customHeight="1">
      <c r="A30" s="76" t="s">
        <v>124</v>
      </c>
      <c r="B30" s="77">
        <v>12500.0</v>
      </c>
      <c r="C30" s="78">
        <f t="shared" si="1"/>
        <v>12125</v>
      </c>
      <c r="D30" s="37"/>
    </row>
    <row r="31" ht="14.25" customHeight="1">
      <c r="A31" s="97" t="s">
        <v>128</v>
      </c>
      <c r="B31" s="75">
        <v>5500.0</v>
      </c>
      <c r="C31" s="31">
        <f t="shared" si="1"/>
        <v>5335</v>
      </c>
      <c r="D31" s="37"/>
    </row>
    <row r="32" ht="14.25" customHeight="1">
      <c r="A32" s="41" t="s">
        <v>132</v>
      </c>
      <c r="B32" s="42">
        <v>12500.0</v>
      </c>
      <c r="C32" s="43">
        <f t="shared" si="1"/>
        <v>12125</v>
      </c>
      <c r="D32" s="37"/>
    </row>
    <row r="33" ht="14.25" customHeight="1">
      <c r="A33" s="97" t="s">
        <v>137</v>
      </c>
      <c r="B33" s="75">
        <v>5000.0</v>
      </c>
      <c r="C33" s="31">
        <f t="shared" si="1"/>
        <v>4850</v>
      </c>
      <c r="D33" s="37"/>
    </row>
    <row r="34" ht="14.25" customHeight="1">
      <c r="A34" s="27" t="s">
        <v>140</v>
      </c>
      <c r="B34" s="29">
        <v>4000.0</v>
      </c>
      <c r="C34" s="31">
        <f t="shared" si="1"/>
        <v>3880</v>
      </c>
      <c r="D34" s="37"/>
    </row>
    <row r="35" ht="14.25" customHeight="1">
      <c r="A35" s="27" t="s">
        <v>141</v>
      </c>
      <c r="B35" s="29">
        <v>4900.0</v>
      </c>
      <c r="C35" s="31">
        <f t="shared" si="1"/>
        <v>4753</v>
      </c>
      <c r="D35" s="37"/>
    </row>
    <row r="36" ht="14.25" customHeight="1">
      <c r="A36" s="27" t="s">
        <v>143</v>
      </c>
      <c r="B36" s="29">
        <v>4000.0</v>
      </c>
      <c r="C36" s="31">
        <f t="shared" si="1"/>
        <v>3880</v>
      </c>
      <c r="D36" s="37"/>
    </row>
    <row r="37" ht="14.25" customHeight="1">
      <c r="A37" s="92" t="s">
        <v>145</v>
      </c>
      <c r="B37" s="93">
        <v>12500.0</v>
      </c>
      <c r="C37" s="94">
        <f t="shared" si="1"/>
        <v>12125</v>
      </c>
      <c r="D37" s="37"/>
    </row>
    <row r="38" ht="14.25" customHeight="1">
      <c r="A38" s="27" t="s">
        <v>147</v>
      </c>
      <c r="B38" s="29">
        <v>4500.0</v>
      </c>
      <c r="C38" s="31">
        <f t="shared" si="1"/>
        <v>4365</v>
      </c>
      <c r="D38" s="37"/>
    </row>
    <row r="39" ht="14.25" customHeight="1">
      <c r="A39" s="97" t="s">
        <v>149</v>
      </c>
      <c r="B39" s="29">
        <v>4500.0</v>
      </c>
      <c r="C39" s="31">
        <f t="shared" si="1"/>
        <v>4365</v>
      </c>
      <c r="D39" s="37"/>
    </row>
    <row r="40" ht="14.25" customHeight="1">
      <c r="A40" s="102" t="s">
        <v>153</v>
      </c>
      <c r="B40" s="103">
        <v>12500.0</v>
      </c>
      <c r="C40" s="104">
        <f t="shared" si="1"/>
        <v>12125</v>
      </c>
      <c r="D40" s="37"/>
    </row>
    <row r="41" ht="14.25" customHeight="1">
      <c r="A41" s="27" t="s">
        <v>158</v>
      </c>
      <c r="B41" s="75">
        <v>8500.0</v>
      </c>
      <c r="C41" s="31">
        <f t="shared" si="1"/>
        <v>8245</v>
      </c>
      <c r="D41" s="37"/>
    </row>
    <row r="42" ht="14.25" customHeight="1">
      <c r="A42" s="105" t="s">
        <v>163</v>
      </c>
      <c r="B42" s="106">
        <v>12500.0</v>
      </c>
      <c r="C42" s="107">
        <f t="shared" si="1"/>
        <v>12125</v>
      </c>
      <c r="D42" s="37"/>
    </row>
    <row r="43" ht="14.25" customHeight="1">
      <c r="A43" s="27" t="s">
        <v>166</v>
      </c>
      <c r="B43" s="75">
        <v>4500.0</v>
      </c>
      <c r="C43" s="31">
        <f t="shared" si="1"/>
        <v>4365</v>
      </c>
      <c r="D43" s="37"/>
    </row>
    <row r="44" ht="14.25" customHeight="1">
      <c r="A44" s="97" t="s">
        <v>170</v>
      </c>
      <c r="B44" s="75">
        <v>5000.0</v>
      </c>
      <c r="C44" s="31">
        <f t="shared" si="1"/>
        <v>4850</v>
      </c>
      <c r="D44" s="37"/>
    </row>
    <row r="45" ht="14.25" customHeight="1">
      <c r="A45" s="41" t="s">
        <v>174</v>
      </c>
      <c r="B45" s="109">
        <v>15000.0</v>
      </c>
      <c r="C45" s="43">
        <f t="shared" si="1"/>
        <v>14550</v>
      </c>
      <c r="D45" s="37"/>
    </row>
    <row r="46" ht="14.25" customHeight="1">
      <c r="A46" s="27" t="s">
        <v>188</v>
      </c>
      <c r="B46" s="75">
        <v>4500.0</v>
      </c>
      <c r="C46" s="31">
        <f t="shared" si="1"/>
        <v>4365</v>
      </c>
      <c r="D46" s="37"/>
    </row>
    <row r="47" ht="14.25" customHeight="1">
      <c r="A47" s="97" t="s">
        <v>191</v>
      </c>
      <c r="B47" s="75">
        <v>4500.0</v>
      </c>
      <c r="C47" s="31">
        <f t="shared" si="1"/>
        <v>4365</v>
      </c>
      <c r="D47" s="37"/>
    </row>
    <row r="48" ht="14.25" customHeight="1">
      <c r="A48" s="27" t="s">
        <v>193</v>
      </c>
      <c r="B48" s="75">
        <v>5000.0</v>
      </c>
      <c r="C48" s="31">
        <f t="shared" si="1"/>
        <v>4850</v>
      </c>
      <c r="D48" s="37"/>
    </row>
    <row r="49" ht="14.25" customHeight="1">
      <c r="A49" s="27" t="s">
        <v>196</v>
      </c>
      <c r="B49" s="75">
        <v>5000.0</v>
      </c>
      <c r="C49" s="31">
        <f t="shared" si="1"/>
        <v>4850</v>
      </c>
      <c r="D49" s="37"/>
    </row>
    <row r="50" ht="14.25" customHeight="1">
      <c r="A50" s="41" t="s">
        <v>199</v>
      </c>
      <c r="B50" s="42">
        <v>12500.0</v>
      </c>
      <c r="C50" s="43">
        <f t="shared" si="1"/>
        <v>12125</v>
      </c>
      <c r="D50" s="37"/>
    </row>
    <row r="51" ht="14.25" customHeight="1">
      <c r="A51" s="27" t="s">
        <v>202</v>
      </c>
      <c r="B51" s="75">
        <v>5000.0</v>
      </c>
      <c r="C51" s="31">
        <f t="shared" si="1"/>
        <v>4850</v>
      </c>
      <c r="D51" s="37"/>
    </row>
    <row r="52" ht="14.25" customHeight="1">
      <c r="A52" s="97" t="s">
        <v>205</v>
      </c>
      <c r="B52" s="75">
        <v>5000.0</v>
      </c>
      <c r="C52" s="31">
        <f t="shared" si="1"/>
        <v>4850</v>
      </c>
      <c r="D52" s="37"/>
    </row>
    <row r="53" ht="14.25" customHeight="1">
      <c r="A53" s="41" t="s">
        <v>209</v>
      </c>
      <c r="B53" s="109">
        <v>15000.0</v>
      </c>
      <c r="C53" s="43">
        <f t="shared" si="1"/>
        <v>14550</v>
      </c>
      <c r="D53" s="37"/>
    </row>
    <row r="54" ht="14.25" customHeight="1">
      <c r="A54" s="97" t="s">
        <v>214</v>
      </c>
      <c r="B54" s="75">
        <v>5000.0</v>
      </c>
      <c r="C54" s="31">
        <f t="shared" si="1"/>
        <v>4850</v>
      </c>
      <c r="D54" s="37"/>
    </row>
    <row r="55" ht="14.25" customHeight="1">
      <c r="A55" s="97" t="s">
        <v>217</v>
      </c>
      <c r="B55" s="75">
        <v>7000.0</v>
      </c>
      <c r="C55" s="31">
        <f t="shared" si="1"/>
        <v>6790</v>
      </c>
      <c r="D55" s="37"/>
    </row>
    <row r="56" ht="14.25" customHeight="1">
      <c r="A56" s="27" t="s">
        <v>221</v>
      </c>
      <c r="B56" s="75">
        <v>4500.0</v>
      </c>
      <c r="C56" s="31">
        <f t="shared" si="1"/>
        <v>4365</v>
      </c>
      <c r="D56" s="37"/>
    </row>
    <row r="57" ht="14.25" customHeight="1">
      <c r="A57" s="27" t="s">
        <v>226</v>
      </c>
      <c r="B57" s="75">
        <v>5000.0</v>
      </c>
      <c r="C57" s="31">
        <f t="shared" si="1"/>
        <v>4850</v>
      </c>
      <c r="D57" s="37"/>
    </row>
    <row r="58" ht="14.25" customHeight="1">
      <c r="A58" s="102" t="s">
        <v>230</v>
      </c>
      <c r="B58" s="103">
        <v>12500.0</v>
      </c>
      <c r="C58" s="104">
        <f t="shared" si="1"/>
        <v>12125</v>
      </c>
      <c r="D58" s="37"/>
    </row>
    <row r="59" ht="14.25" customHeight="1">
      <c r="A59" s="97" t="s">
        <v>235</v>
      </c>
      <c r="B59" s="75">
        <v>13500.0</v>
      </c>
      <c r="C59" s="31">
        <f t="shared" si="1"/>
        <v>13095</v>
      </c>
      <c r="D59" s="37"/>
    </row>
    <row r="60" ht="14.25" customHeight="1">
      <c r="A60" s="41" t="s">
        <v>240</v>
      </c>
      <c r="B60" s="109">
        <v>18000.0</v>
      </c>
      <c r="C60" s="43">
        <f t="shared" si="1"/>
        <v>17460</v>
      </c>
      <c r="D60" s="37"/>
    </row>
    <row r="61" ht="14.25" customHeight="1">
      <c r="A61" s="97" t="s">
        <v>248</v>
      </c>
      <c r="B61" s="75">
        <v>5500.0</v>
      </c>
      <c r="C61" s="31">
        <f t="shared" si="1"/>
        <v>5335</v>
      </c>
      <c r="D61" s="37"/>
    </row>
    <row r="62" ht="14.25" customHeight="1">
      <c r="A62" s="27" t="s">
        <v>258</v>
      </c>
      <c r="B62" s="75">
        <v>5500.0</v>
      </c>
      <c r="C62" s="31">
        <f t="shared" si="1"/>
        <v>5335</v>
      </c>
      <c r="D62" s="37"/>
    </row>
    <row r="63" ht="14.25" customHeight="1">
      <c r="A63" s="41" t="s">
        <v>262</v>
      </c>
      <c r="B63" s="109">
        <v>15000.0</v>
      </c>
      <c r="C63" s="43">
        <f t="shared" si="1"/>
        <v>14550</v>
      </c>
      <c r="D63" s="37"/>
    </row>
    <row r="64" ht="14.25" customHeight="1">
      <c r="A64" s="97" t="s">
        <v>267</v>
      </c>
      <c r="B64" s="75">
        <v>6900.0</v>
      </c>
      <c r="C64" s="31">
        <f t="shared" si="1"/>
        <v>6693</v>
      </c>
      <c r="D64" s="37"/>
    </row>
    <row r="65" ht="14.25" customHeight="1">
      <c r="A65" s="97" t="s">
        <v>271</v>
      </c>
      <c r="B65" s="75">
        <v>8000.0</v>
      </c>
      <c r="C65" s="31">
        <f t="shared" si="1"/>
        <v>7760</v>
      </c>
      <c r="D65" s="37"/>
    </row>
    <row r="66" ht="14.25" customHeight="1">
      <c r="A66" s="27" t="s">
        <v>274</v>
      </c>
      <c r="B66" s="29">
        <v>10000.0</v>
      </c>
      <c r="C66" s="31">
        <f t="shared" si="1"/>
        <v>9700</v>
      </c>
      <c r="D66" s="37"/>
    </row>
    <row r="67" ht="14.25" customHeight="1">
      <c r="A67" s="27" t="s">
        <v>277</v>
      </c>
      <c r="B67" s="29">
        <v>10000.0</v>
      </c>
      <c r="C67" s="31">
        <f t="shared" si="1"/>
        <v>9700</v>
      </c>
      <c r="D67" s="37"/>
    </row>
    <row r="68" ht="14.25" customHeight="1">
      <c r="A68" s="97" t="s">
        <v>278</v>
      </c>
      <c r="B68" s="75">
        <v>13000.0</v>
      </c>
      <c r="C68" s="31">
        <f t="shared" si="1"/>
        <v>12610</v>
      </c>
      <c r="D68" s="37"/>
    </row>
    <row r="69" ht="14.25" customHeight="1">
      <c r="A69" s="97" t="s">
        <v>281</v>
      </c>
      <c r="B69" s="75">
        <v>18000.0</v>
      </c>
      <c r="C69" s="31">
        <f t="shared" si="1"/>
        <v>17460</v>
      </c>
      <c r="D69" s="37"/>
    </row>
    <row r="70" ht="14.25" customHeight="1">
      <c r="A70" s="27" t="s">
        <v>285</v>
      </c>
      <c r="B70" s="75">
        <v>9000.0</v>
      </c>
      <c r="C70" s="31">
        <f t="shared" si="1"/>
        <v>8730</v>
      </c>
      <c r="D70" s="37"/>
    </row>
    <row r="71" ht="14.25" customHeight="1">
      <c r="A71" s="97" t="s">
        <v>287</v>
      </c>
      <c r="B71" s="75">
        <v>18500.0</v>
      </c>
      <c r="C71" s="31">
        <f t="shared" si="1"/>
        <v>17945</v>
      </c>
      <c r="D71" s="37"/>
    </row>
    <row r="72" ht="14.25" customHeight="1">
      <c r="A72" s="41" t="s">
        <v>290</v>
      </c>
      <c r="B72" s="109">
        <v>18500.0</v>
      </c>
      <c r="C72" s="43">
        <f t="shared" si="1"/>
        <v>17945</v>
      </c>
      <c r="D72" s="37"/>
    </row>
    <row r="73" ht="14.25" customHeight="1">
      <c r="A73" s="97" t="s">
        <v>293</v>
      </c>
      <c r="B73" s="75">
        <v>7000.0</v>
      </c>
      <c r="C73" s="31">
        <f t="shared" si="1"/>
        <v>6790</v>
      </c>
      <c r="D73" s="37"/>
    </row>
    <row r="74" ht="14.25" customHeight="1">
      <c r="A74" s="27" t="s">
        <v>297</v>
      </c>
      <c r="B74" s="29">
        <v>9000.0</v>
      </c>
      <c r="C74" s="31">
        <f t="shared" si="1"/>
        <v>8730</v>
      </c>
      <c r="D74" s="37"/>
    </row>
    <row r="75" ht="14.25" customHeight="1">
      <c r="A75" s="27" t="s">
        <v>300</v>
      </c>
      <c r="B75" s="29">
        <v>10000.0</v>
      </c>
      <c r="C75" s="31">
        <f t="shared" si="1"/>
        <v>9700</v>
      </c>
      <c r="D75" s="37"/>
    </row>
    <row r="76" ht="14.25" customHeight="1">
      <c r="A76" s="97" t="s">
        <v>303</v>
      </c>
      <c r="B76" s="75">
        <v>15000.0</v>
      </c>
      <c r="C76" s="31">
        <f t="shared" si="1"/>
        <v>14550</v>
      </c>
      <c r="D76" s="37"/>
    </row>
    <row r="77" ht="14.25" customHeight="1">
      <c r="A77" s="97" t="s">
        <v>308</v>
      </c>
      <c r="B77" s="75">
        <v>19000.0</v>
      </c>
      <c r="C77" s="31">
        <f t="shared" si="1"/>
        <v>18430</v>
      </c>
      <c r="D77" s="37"/>
    </row>
    <row r="78" ht="14.25" customHeight="1">
      <c r="A78" s="97" t="s">
        <v>311</v>
      </c>
      <c r="B78" s="75">
        <v>21000.0</v>
      </c>
      <c r="C78" s="31">
        <f t="shared" si="1"/>
        <v>20370</v>
      </c>
      <c r="D78" s="37"/>
    </row>
    <row r="79" ht="14.25" customHeight="1">
      <c r="A79" s="76" t="s">
        <v>314</v>
      </c>
      <c r="B79" s="77">
        <v>12500.0</v>
      </c>
      <c r="C79" s="78">
        <f t="shared" si="1"/>
        <v>12125</v>
      </c>
      <c r="D79" s="37"/>
    </row>
    <row r="80" ht="14.25" customHeight="1">
      <c r="A80" s="97" t="s">
        <v>319</v>
      </c>
      <c r="B80" s="75">
        <v>15000.0</v>
      </c>
      <c r="C80" s="31">
        <f t="shared" si="1"/>
        <v>14550</v>
      </c>
      <c r="D80" s="37"/>
    </row>
    <row r="81" ht="14.25" customHeight="1">
      <c r="A81" s="97" t="s">
        <v>321</v>
      </c>
      <c r="B81" s="75">
        <v>15000.0</v>
      </c>
      <c r="C81" s="31">
        <f t="shared" si="1"/>
        <v>14550</v>
      </c>
      <c r="D81" s="37"/>
    </row>
    <row r="82" ht="14.25" customHeight="1">
      <c r="A82" s="27" t="s">
        <v>326</v>
      </c>
      <c r="B82" s="75">
        <v>17000.0</v>
      </c>
      <c r="C82" s="31">
        <f t="shared" si="1"/>
        <v>16490</v>
      </c>
      <c r="D82" s="37"/>
    </row>
    <row r="83" ht="14.25" customHeight="1">
      <c r="A83" s="41" t="s">
        <v>329</v>
      </c>
      <c r="B83" s="109">
        <v>18000.0</v>
      </c>
      <c r="C83" s="43">
        <f t="shared" si="1"/>
        <v>17460</v>
      </c>
      <c r="D83" s="37"/>
    </row>
    <row r="84" ht="14.25" customHeight="1">
      <c r="A84" s="115" t="s">
        <v>333</v>
      </c>
      <c r="B84" s="116">
        <v>30000.0</v>
      </c>
      <c r="C84" s="31">
        <f t="shared" si="1"/>
        <v>29100</v>
      </c>
      <c r="D84" s="37"/>
    </row>
    <row r="85" ht="14.25" customHeight="1">
      <c r="A85" s="117" t="s">
        <v>342</v>
      </c>
      <c r="B85" s="116">
        <v>16000.0</v>
      </c>
      <c r="C85" s="31">
        <f t="shared" si="1"/>
        <v>15520</v>
      </c>
      <c r="D85" s="118"/>
    </row>
    <row r="86" ht="14.25" customHeight="1">
      <c r="A86" s="117" t="s">
        <v>350</v>
      </c>
      <c r="B86" s="116">
        <v>16500.0</v>
      </c>
      <c r="C86" s="31">
        <f t="shared" si="1"/>
        <v>16005</v>
      </c>
      <c r="D86" s="118"/>
    </row>
    <row r="87" ht="14.25" customHeight="1">
      <c r="A87" s="117" t="s">
        <v>353</v>
      </c>
      <c r="B87" s="116">
        <v>19000.0</v>
      </c>
      <c r="C87" s="31">
        <f t="shared" si="1"/>
        <v>18430</v>
      </c>
      <c r="D87" s="118"/>
    </row>
    <row r="88" ht="14.25" customHeight="1">
      <c r="A88" s="41" t="s">
        <v>357</v>
      </c>
      <c r="B88" s="109">
        <v>22000.0</v>
      </c>
      <c r="C88" s="43">
        <f t="shared" si="1"/>
        <v>21340</v>
      </c>
      <c r="D88" s="118"/>
    </row>
    <row r="89" ht="14.25" customHeight="1">
      <c r="A89" s="117" t="s">
        <v>360</v>
      </c>
      <c r="B89" s="116">
        <v>39000.0</v>
      </c>
      <c r="C89" s="31">
        <f t="shared" si="1"/>
        <v>37830</v>
      </c>
      <c r="D89" s="118"/>
    </row>
    <row r="90" ht="14.25" customHeight="1">
      <c r="A90" s="41" t="s">
        <v>363</v>
      </c>
      <c r="B90" s="109">
        <v>22000.0</v>
      </c>
      <c r="C90" s="43">
        <f t="shared" si="1"/>
        <v>21340</v>
      </c>
      <c r="D90" s="118"/>
    </row>
    <row r="91" ht="18.75" customHeight="1">
      <c r="A91" s="41" t="s">
        <v>366</v>
      </c>
      <c r="B91" s="109">
        <v>22000.0</v>
      </c>
      <c r="C91" s="43">
        <f t="shared" si="1"/>
        <v>21340</v>
      </c>
      <c r="D91" s="118"/>
    </row>
    <row r="92" ht="37.5" customHeight="1">
      <c r="A92" s="119" t="s">
        <v>376</v>
      </c>
      <c r="B92" s="10"/>
      <c r="C92" s="12"/>
      <c r="D92" s="118"/>
    </row>
    <row r="93" ht="14.25" customHeight="1">
      <c r="A93" s="55" t="s">
        <v>382</v>
      </c>
      <c r="B93" s="120">
        <v>2800.0</v>
      </c>
      <c r="C93" s="121">
        <f t="shared" ref="C93:C111" si="2">B93*0.97</f>
        <v>2716</v>
      </c>
      <c r="D93" s="118"/>
    </row>
    <row r="94" ht="14.25" customHeight="1">
      <c r="A94" s="122" t="s">
        <v>385</v>
      </c>
      <c r="B94" s="123">
        <v>2800.0</v>
      </c>
      <c r="C94" s="124">
        <f t="shared" si="2"/>
        <v>2716</v>
      </c>
      <c r="D94" s="37"/>
    </row>
    <row r="95" ht="14.25" customHeight="1">
      <c r="A95" s="67" t="s">
        <v>387</v>
      </c>
      <c r="B95" s="125">
        <v>2800.0</v>
      </c>
      <c r="C95" s="121">
        <f t="shared" si="2"/>
        <v>2716</v>
      </c>
      <c r="D95" s="37"/>
    </row>
    <row r="96" ht="14.25" customHeight="1">
      <c r="A96" s="126" t="s">
        <v>389</v>
      </c>
      <c r="B96" s="127">
        <v>2800.0</v>
      </c>
      <c r="C96" s="124">
        <f t="shared" si="2"/>
        <v>2716</v>
      </c>
      <c r="D96" s="37"/>
    </row>
    <row r="97" ht="14.25" customHeight="1">
      <c r="A97" s="67" t="s">
        <v>391</v>
      </c>
      <c r="B97" s="125">
        <v>2800.0</v>
      </c>
      <c r="C97" s="121">
        <f t="shared" si="2"/>
        <v>2716</v>
      </c>
      <c r="D97" s="37"/>
    </row>
    <row r="98" ht="14.25" customHeight="1">
      <c r="A98" s="126" t="s">
        <v>393</v>
      </c>
      <c r="B98" s="127">
        <v>2800.0</v>
      </c>
      <c r="C98" s="124">
        <f t="shared" si="2"/>
        <v>2716</v>
      </c>
      <c r="D98" s="37"/>
    </row>
    <row r="99" ht="14.25" customHeight="1">
      <c r="A99" s="67" t="s">
        <v>396</v>
      </c>
      <c r="B99" s="125">
        <v>2800.0</v>
      </c>
      <c r="C99" s="121">
        <f t="shared" si="2"/>
        <v>2716</v>
      </c>
      <c r="D99" s="37"/>
    </row>
    <row r="100" ht="14.25" customHeight="1">
      <c r="A100" s="126" t="s">
        <v>397</v>
      </c>
      <c r="B100" s="127">
        <v>2800.0</v>
      </c>
      <c r="C100" s="124">
        <f t="shared" si="2"/>
        <v>2716</v>
      </c>
      <c r="D100" s="37"/>
    </row>
    <row r="101" ht="14.25" customHeight="1">
      <c r="A101" s="67" t="s">
        <v>399</v>
      </c>
      <c r="B101" s="125">
        <v>2800.0</v>
      </c>
      <c r="C101" s="121">
        <f t="shared" si="2"/>
        <v>2716</v>
      </c>
      <c r="D101" s="37"/>
    </row>
    <row r="102" ht="14.25" customHeight="1">
      <c r="A102" s="126" t="s">
        <v>401</v>
      </c>
      <c r="B102" s="127">
        <v>2800.0</v>
      </c>
      <c r="C102" s="124">
        <f t="shared" si="2"/>
        <v>2716</v>
      </c>
      <c r="D102" s="37"/>
    </row>
    <row r="103" ht="14.25" customHeight="1">
      <c r="A103" s="67" t="s">
        <v>403</v>
      </c>
      <c r="B103" s="125">
        <v>2800.0</v>
      </c>
      <c r="C103" s="121">
        <f t="shared" si="2"/>
        <v>2716</v>
      </c>
      <c r="D103" s="37"/>
    </row>
    <row r="104" ht="14.25" customHeight="1">
      <c r="A104" s="126" t="s">
        <v>406</v>
      </c>
      <c r="B104" s="127">
        <v>2800.0</v>
      </c>
      <c r="C104" s="124">
        <f t="shared" si="2"/>
        <v>2716</v>
      </c>
      <c r="D104" s="37"/>
    </row>
    <row r="105" ht="14.25" customHeight="1">
      <c r="A105" s="67" t="s">
        <v>410</v>
      </c>
      <c r="B105" s="125">
        <v>2800.0</v>
      </c>
      <c r="C105" s="121">
        <f t="shared" si="2"/>
        <v>2716</v>
      </c>
      <c r="D105" s="37"/>
    </row>
    <row r="106" ht="14.25" customHeight="1">
      <c r="A106" s="126" t="s">
        <v>412</v>
      </c>
      <c r="B106" s="131">
        <v>5000.0</v>
      </c>
      <c r="C106" s="124">
        <f t="shared" si="2"/>
        <v>4850</v>
      </c>
      <c r="D106" s="37"/>
    </row>
    <row r="107" ht="14.25" customHeight="1">
      <c r="A107" s="67" t="s">
        <v>421</v>
      </c>
      <c r="B107" s="125">
        <v>2800.0</v>
      </c>
      <c r="C107" s="121">
        <f t="shared" si="2"/>
        <v>2716</v>
      </c>
      <c r="D107" s="37"/>
    </row>
    <row r="108" ht="14.25" customHeight="1">
      <c r="A108" s="126" t="s">
        <v>424</v>
      </c>
      <c r="B108" s="127">
        <v>2800.0</v>
      </c>
      <c r="C108" s="124">
        <f t="shared" si="2"/>
        <v>2716</v>
      </c>
      <c r="D108" s="37"/>
    </row>
    <row r="109" ht="14.25" customHeight="1">
      <c r="A109" s="67" t="s">
        <v>382</v>
      </c>
      <c r="B109" s="125">
        <v>2800.0</v>
      </c>
      <c r="C109" s="121">
        <f t="shared" si="2"/>
        <v>2716</v>
      </c>
      <c r="D109" s="37"/>
    </row>
    <row r="110" ht="14.25" customHeight="1">
      <c r="A110" s="126" t="s">
        <v>430</v>
      </c>
      <c r="B110" s="131">
        <v>2800.0</v>
      </c>
      <c r="C110" s="124">
        <f t="shared" si="2"/>
        <v>2716</v>
      </c>
      <c r="D110" s="37"/>
    </row>
    <row r="111" ht="14.25" customHeight="1">
      <c r="A111" s="55" t="s">
        <v>433</v>
      </c>
      <c r="B111" s="120">
        <v>2800.0</v>
      </c>
      <c r="C111" s="121">
        <f t="shared" si="2"/>
        <v>2716</v>
      </c>
      <c r="D111" s="37"/>
    </row>
    <row r="112" ht="14.25" customHeight="1">
      <c r="A112" s="135" t="s">
        <v>434</v>
      </c>
      <c r="C112" s="136"/>
      <c r="D112" s="37"/>
    </row>
    <row r="113" ht="14.25" customHeight="1">
      <c r="A113" s="137"/>
      <c r="C113" s="144"/>
      <c r="D113" s="118"/>
    </row>
    <row r="114" ht="14.25" customHeight="1">
      <c r="A114" s="145"/>
      <c r="B114" s="146"/>
      <c r="C114" s="147"/>
      <c r="D114" s="118"/>
    </row>
    <row r="115" ht="14.25" customHeight="1">
      <c r="A115" s="55" t="s">
        <v>495</v>
      </c>
      <c r="B115" s="120">
        <v>2000.0</v>
      </c>
      <c r="C115" s="121">
        <f t="shared" ref="C115:C167" si="3">B115*0.97</f>
        <v>1940</v>
      </c>
      <c r="D115" s="37"/>
    </row>
    <row r="116" ht="14.25" customHeight="1">
      <c r="A116" s="126" t="s">
        <v>505</v>
      </c>
      <c r="B116" s="123">
        <v>2000.0</v>
      </c>
      <c r="C116" s="124">
        <f t="shared" si="3"/>
        <v>1940</v>
      </c>
      <c r="D116" s="37"/>
    </row>
    <row r="117" ht="14.25" customHeight="1">
      <c r="A117" s="67" t="s">
        <v>508</v>
      </c>
      <c r="B117" s="120">
        <v>2000.0</v>
      </c>
      <c r="C117" s="121">
        <f t="shared" si="3"/>
        <v>1940</v>
      </c>
      <c r="D117" s="37"/>
    </row>
    <row r="118" ht="14.25" customHeight="1">
      <c r="A118" s="122" t="s">
        <v>511</v>
      </c>
      <c r="B118" s="123">
        <v>2000.0</v>
      </c>
      <c r="C118" s="124">
        <f t="shared" si="3"/>
        <v>1940</v>
      </c>
      <c r="D118" s="37"/>
    </row>
    <row r="119" ht="14.25" customHeight="1">
      <c r="A119" s="67" t="s">
        <v>514</v>
      </c>
      <c r="B119" s="120">
        <v>2000.0</v>
      </c>
      <c r="C119" s="121">
        <f t="shared" si="3"/>
        <v>1940</v>
      </c>
      <c r="D119" s="37"/>
    </row>
    <row r="120" ht="14.25" customHeight="1">
      <c r="A120" s="122" t="s">
        <v>517</v>
      </c>
      <c r="B120" s="123">
        <v>2000.0</v>
      </c>
      <c r="C120" s="124">
        <f t="shared" si="3"/>
        <v>1940</v>
      </c>
      <c r="D120" s="37"/>
    </row>
    <row r="121" ht="14.25" customHeight="1">
      <c r="A121" s="55" t="s">
        <v>521</v>
      </c>
      <c r="B121" s="120">
        <v>2000.0</v>
      </c>
      <c r="C121" s="121">
        <f t="shared" si="3"/>
        <v>1940</v>
      </c>
      <c r="D121" s="37"/>
    </row>
    <row r="122" ht="14.25" customHeight="1">
      <c r="A122" s="122" t="s">
        <v>523</v>
      </c>
      <c r="B122" s="123">
        <v>2000.0</v>
      </c>
      <c r="C122" s="124">
        <f t="shared" si="3"/>
        <v>1940</v>
      </c>
      <c r="D122" s="37"/>
    </row>
    <row r="123" ht="14.25" customHeight="1">
      <c r="A123" s="55" t="s">
        <v>527</v>
      </c>
      <c r="B123" s="120">
        <v>2000.0</v>
      </c>
      <c r="C123" s="121">
        <f t="shared" si="3"/>
        <v>1940</v>
      </c>
      <c r="D123" s="37"/>
    </row>
    <row r="124" ht="14.25" customHeight="1">
      <c r="A124" s="122" t="s">
        <v>529</v>
      </c>
      <c r="B124" s="123">
        <v>2000.0</v>
      </c>
      <c r="C124" s="124">
        <f t="shared" si="3"/>
        <v>1940</v>
      </c>
      <c r="D124" s="37"/>
    </row>
    <row r="125" ht="14.25" customHeight="1">
      <c r="A125" s="55" t="s">
        <v>533</v>
      </c>
      <c r="B125" s="120">
        <v>2000.0</v>
      </c>
      <c r="C125" s="121">
        <f t="shared" si="3"/>
        <v>1940</v>
      </c>
      <c r="D125" s="37"/>
    </row>
    <row r="126" ht="14.25" customHeight="1">
      <c r="A126" s="126" t="s">
        <v>538</v>
      </c>
      <c r="B126" s="123">
        <v>2000.0</v>
      </c>
      <c r="C126" s="124">
        <f t="shared" si="3"/>
        <v>1940</v>
      </c>
      <c r="D126" s="37"/>
    </row>
    <row r="127" ht="14.25" customHeight="1">
      <c r="A127" s="55" t="s">
        <v>540</v>
      </c>
      <c r="B127" s="120">
        <v>2000.0</v>
      </c>
      <c r="C127" s="121">
        <f t="shared" si="3"/>
        <v>1940</v>
      </c>
      <c r="D127" s="37"/>
    </row>
    <row r="128" ht="14.25" customHeight="1">
      <c r="A128" s="122" t="s">
        <v>542</v>
      </c>
      <c r="B128" s="123">
        <v>2000.0</v>
      </c>
      <c r="C128" s="124">
        <f t="shared" si="3"/>
        <v>1940</v>
      </c>
      <c r="D128" s="37"/>
    </row>
    <row r="129" ht="14.25" customHeight="1">
      <c r="A129" s="67" t="s">
        <v>546</v>
      </c>
      <c r="B129" s="120">
        <v>2000.0</v>
      </c>
      <c r="C129" s="121">
        <f t="shared" si="3"/>
        <v>1940</v>
      </c>
      <c r="D129" s="37"/>
    </row>
    <row r="130" ht="14.25" customHeight="1">
      <c r="A130" s="122" t="s">
        <v>549</v>
      </c>
      <c r="B130" s="123">
        <v>2000.0</v>
      </c>
      <c r="C130" s="124">
        <f t="shared" si="3"/>
        <v>1940</v>
      </c>
      <c r="D130" s="37"/>
    </row>
    <row r="131" ht="14.25" customHeight="1">
      <c r="A131" s="67" t="s">
        <v>551</v>
      </c>
      <c r="B131" s="120">
        <v>2000.0</v>
      </c>
      <c r="C131" s="121">
        <f t="shared" si="3"/>
        <v>1940</v>
      </c>
      <c r="D131" s="37"/>
    </row>
    <row r="132" ht="14.25" customHeight="1">
      <c r="A132" s="122" t="s">
        <v>554</v>
      </c>
      <c r="B132" s="123">
        <v>2000.0</v>
      </c>
      <c r="C132" s="124">
        <f t="shared" si="3"/>
        <v>1940</v>
      </c>
      <c r="D132" s="37"/>
    </row>
    <row r="133" ht="14.25" customHeight="1">
      <c r="A133" s="55" t="s">
        <v>558</v>
      </c>
      <c r="B133" s="120">
        <v>2000.0</v>
      </c>
      <c r="C133" s="121">
        <f t="shared" si="3"/>
        <v>1940</v>
      </c>
      <c r="D133" s="37"/>
    </row>
    <row r="134" ht="14.25" customHeight="1">
      <c r="A134" s="122" t="s">
        <v>562</v>
      </c>
      <c r="B134" s="123">
        <v>2000.0</v>
      </c>
      <c r="C134" s="124">
        <f t="shared" si="3"/>
        <v>1940</v>
      </c>
      <c r="D134" s="37"/>
    </row>
    <row r="135" ht="14.25" customHeight="1">
      <c r="A135" s="67" t="s">
        <v>565</v>
      </c>
      <c r="B135" s="120">
        <v>2000.0</v>
      </c>
      <c r="C135" s="121">
        <f t="shared" si="3"/>
        <v>1940</v>
      </c>
      <c r="D135" s="37"/>
    </row>
    <row r="136" ht="14.25" customHeight="1">
      <c r="A136" s="122" t="s">
        <v>568</v>
      </c>
      <c r="B136" s="123">
        <v>2000.0</v>
      </c>
      <c r="C136" s="124">
        <f t="shared" si="3"/>
        <v>1940</v>
      </c>
      <c r="D136" s="37"/>
    </row>
    <row r="137" ht="14.25" customHeight="1">
      <c r="A137" s="55" t="s">
        <v>570</v>
      </c>
      <c r="B137" s="120">
        <v>2000.0</v>
      </c>
      <c r="C137" s="121">
        <f t="shared" si="3"/>
        <v>1940</v>
      </c>
      <c r="D137" s="37"/>
    </row>
    <row r="138" ht="14.25" customHeight="1">
      <c r="A138" s="122" t="s">
        <v>571</v>
      </c>
      <c r="B138" s="123">
        <v>2500.0</v>
      </c>
      <c r="C138" s="124">
        <f t="shared" si="3"/>
        <v>2425</v>
      </c>
      <c r="D138" s="37"/>
    </row>
    <row r="139" ht="14.25" customHeight="1">
      <c r="A139" s="67" t="s">
        <v>573</v>
      </c>
      <c r="B139" s="120">
        <v>2000.0</v>
      </c>
      <c r="C139" s="121">
        <f t="shared" si="3"/>
        <v>1940</v>
      </c>
      <c r="D139" s="37"/>
    </row>
    <row r="140" ht="14.25" customHeight="1">
      <c r="A140" s="126" t="s">
        <v>574</v>
      </c>
      <c r="B140" s="123">
        <v>2000.0</v>
      </c>
      <c r="C140" s="124">
        <f t="shared" si="3"/>
        <v>1940</v>
      </c>
      <c r="D140" s="37"/>
    </row>
    <row r="141" ht="14.25" customHeight="1">
      <c r="A141" s="55" t="s">
        <v>575</v>
      </c>
      <c r="B141" s="120">
        <v>2000.0</v>
      </c>
      <c r="C141" s="121">
        <f t="shared" si="3"/>
        <v>1940</v>
      </c>
      <c r="D141" s="37"/>
    </row>
    <row r="142" ht="14.25" customHeight="1">
      <c r="A142" s="126" t="s">
        <v>576</v>
      </c>
      <c r="B142" s="123">
        <v>2000.0</v>
      </c>
      <c r="C142" s="124">
        <f t="shared" si="3"/>
        <v>1940</v>
      </c>
      <c r="D142" s="37"/>
    </row>
    <row r="143" ht="14.25" customHeight="1">
      <c r="A143" s="67" t="s">
        <v>578</v>
      </c>
      <c r="B143" s="120">
        <v>2000.0</v>
      </c>
      <c r="C143" s="121">
        <f t="shared" si="3"/>
        <v>1940</v>
      </c>
      <c r="D143" s="37"/>
    </row>
    <row r="144" ht="14.25" customHeight="1">
      <c r="A144" s="126" t="s">
        <v>580</v>
      </c>
      <c r="B144" s="123">
        <v>2000.0</v>
      </c>
      <c r="C144" s="124">
        <f t="shared" si="3"/>
        <v>1940</v>
      </c>
      <c r="D144" s="37"/>
    </row>
    <row r="145" ht="14.25" customHeight="1">
      <c r="A145" s="55" t="s">
        <v>582</v>
      </c>
      <c r="B145" s="120">
        <v>2000.0</v>
      </c>
      <c r="C145" s="121">
        <f t="shared" si="3"/>
        <v>1940</v>
      </c>
      <c r="D145" s="37"/>
    </row>
    <row r="146" ht="14.25" customHeight="1">
      <c r="A146" s="122" t="s">
        <v>584</v>
      </c>
      <c r="B146" s="123">
        <v>2500.0</v>
      </c>
      <c r="C146" s="124">
        <f t="shared" si="3"/>
        <v>2425</v>
      </c>
      <c r="D146" s="37"/>
    </row>
    <row r="147" ht="14.25" customHeight="1">
      <c r="A147" s="55" t="s">
        <v>586</v>
      </c>
      <c r="B147" s="120">
        <v>2000.0</v>
      </c>
      <c r="C147" s="121">
        <f t="shared" si="3"/>
        <v>1940</v>
      </c>
      <c r="D147" s="37"/>
    </row>
    <row r="148" ht="14.25" customHeight="1">
      <c r="A148" s="126" t="s">
        <v>587</v>
      </c>
      <c r="B148" s="123">
        <v>2000.0</v>
      </c>
      <c r="C148" s="124">
        <f t="shared" si="3"/>
        <v>1940</v>
      </c>
      <c r="D148" s="37"/>
    </row>
    <row r="149" ht="14.25" customHeight="1">
      <c r="A149" s="67" t="s">
        <v>588</v>
      </c>
      <c r="B149" s="120">
        <v>2000.0</v>
      </c>
      <c r="C149" s="121">
        <f t="shared" si="3"/>
        <v>1940</v>
      </c>
      <c r="D149" s="37"/>
    </row>
    <row r="150" ht="14.25" customHeight="1">
      <c r="A150" s="126" t="s">
        <v>589</v>
      </c>
      <c r="B150" s="123">
        <v>2000.0</v>
      </c>
      <c r="C150" s="124">
        <f t="shared" si="3"/>
        <v>1940</v>
      </c>
      <c r="D150" s="37"/>
    </row>
    <row r="151" ht="14.25" customHeight="1">
      <c r="A151" s="67" t="s">
        <v>590</v>
      </c>
      <c r="B151" s="120">
        <v>2000.0</v>
      </c>
      <c r="C151" s="121">
        <f t="shared" si="3"/>
        <v>1940</v>
      </c>
      <c r="D151" s="37"/>
    </row>
    <row r="152" ht="14.25" customHeight="1">
      <c r="A152" s="126" t="s">
        <v>591</v>
      </c>
      <c r="B152" s="123">
        <v>2000.0</v>
      </c>
      <c r="C152" s="124">
        <f t="shared" si="3"/>
        <v>1940</v>
      </c>
      <c r="D152" s="37"/>
    </row>
    <row r="153" ht="14.25" customHeight="1">
      <c r="A153" s="55" t="s">
        <v>592</v>
      </c>
      <c r="B153" s="120">
        <v>2500.0</v>
      </c>
      <c r="C153" s="121">
        <f t="shared" si="3"/>
        <v>2425</v>
      </c>
      <c r="D153" s="37"/>
    </row>
    <row r="154" ht="14.25" customHeight="1">
      <c r="A154" s="122" t="s">
        <v>593</v>
      </c>
      <c r="B154" s="131">
        <v>2500.0</v>
      </c>
      <c r="C154" s="124">
        <f t="shared" si="3"/>
        <v>2425</v>
      </c>
      <c r="D154" s="37"/>
    </row>
    <row r="155" ht="14.25" customHeight="1">
      <c r="A155" s="55" t="s">
        <v>594</v>
      </c>
      <c r="B155" s="169">
        <v>2500.0</v>
      </c>
      <c r="C155" s="121">
        <f t="shared" si="3"/>
        <v>2425</v>
      </c>
      <c r="D155" s="37"/>
    </row>
    <row r="156" ht="14.25" customHeight="1">
      <c r="A156" s="122" t="s">
        <v>634</v>
      </c>
      <c r="B156" s="131">
        <v>2500.0</v>
      </c>
      <c r="C156" s="124">
        <f t="shared" si="3"/>
        <v>2425</v>
      </c>
      <c r="D156" s="37"/>
    </row>
    <row r="157" ht="14.25" customHeight="1">
      <c r="A157" s="67" t="s">
        <v>638</v>
      </c>
      <c r="B157" s="169">
        <v>2500.0</v>
      </c>
      <c r="C157" s="121">
        <f t="shared" si="3"/>
        <v>2425</v>
      </c>
      <c r="D157" s="37"/>
    </row>
    <row r="158" ht="14.25" customHeight="1">
      <c r="A158" s="122" t="s">
        <v>641</v>
      </c>
      <c r="B158" s="123">
        <v>2500.0</v>
      </c>
      <c r="C158" s="124">
        <f t="shared" si="3"/>
        <v>2425</v>
      </c>
      <c r="D158" s="37"/>
    </row>
    <row r="159" ht="14.25" customHeight="1">
      <c r="A159" s="55" t="s">
        <v>646</v>
      </c>
      <c r="B159" s="120">
        <v>2500.0</v>
      </c>
      <c r="C159" s="121">
        <f t="shared" si="3"/>
        <v>2425</v>
      </c>
      <c r="D159" s="37"/>
    </row>
    <row r="160" ht="14.25" customHeight="1">
      <c r="A160" s="122" t="s">
        <v>649</v>
      </c>
      <c r="B160" s="123">
        <v>2500.0</v>
      </c>
      <c r="C160" s="124">
        <f t="shared" si="3"/>
        <v>2425</v>
      </c>
      <c r="D160" s="37"/>
    </row>
    <row r="161" ht="14.25" customHeight="1">
      <c r="A161" s="55" t="s">
        <v>652</v>
      </c>
      <c r="B161" s="175">
        <v>2500.0</v>
      </c>
      <c r="C161" s="121">
        <f t="shared" si="3"/>
        <v>2425</v>
      </c>
      <c r="D161" s="37"/>
    </row>
    <row r="162" ht="14.25" customHeight="1">
      <c r="A162" s="122" t="s">
        <v>657</v>
      </c>
      <c r="B162" s="123">
        <v>2500.0</v>
      </c>
      <c r="C162" s="124">
        <f t="shared" si="3"/>
        <v>2425</v>
      </c>
      <c r="D162" s="37"/>
    </row>
    <row r="163" ht="14.25" customHeight="1">
      <c r="A163" s="55" t="s">
        <v>659</v>
      </c>
      <c r="B163" s="120">
        <v>2500.0</v>
      </c>
      <c r="C163" s="121">
        <f t="shared" si="3"/>
        <v>2425</v>
      </c>
      <c r="D163" s="37"/>
    </row>
    <row r="164" ht="14.25" customHeight="1">
      <c r="A164" s="122" t="s">
        <v>661</v>
      </c>
      <c r="B164" s="123">
        <v>2500.0</v>
      </c>
      <c r="C164" s="124">
        <f t="shared" si="3"/>
        <v>2425</v>
      </c>
      <c r="D164" s="37"/>
    </row>
    <row r="165" ht="14.25" customHeight="1">
      <c r="A165" s="55" t="s">
        <v>662</v>
      </c>
      <c r="B165" s="120">
        <v>2500.0</v>
      </c>
      <c r="C165" s="121">
        <f t="shared" si="3"/>
        <v>2425</v>
      </c>
      <c r="D165" s="37"/>
    </row>
    <row r="166" ht="14.25" customHeight="1">
      <c r="A166" s="122" t="s">
        <v>663</v>
      </c>
      <c r="B166" s="123">
        <v>2500.0</v>
      </c>
      <c r="C166" s="124">
        <f t="shared" si="3"/>
        <v>2425</v>
      </c>
      <c r="D166" s="37"/>
    </row>
    <row r="167" ht="14.25" customHeight="1">
      <c r="A167" s="55" t="s">
        <v>666</v>
      </c>
      <c r="B167" s="120">
        <v>2000.0</v>
      </c>
      <c r="C167" s="121">
        <f t="shared" si="3"/>
        <v>1940</v>
      </c>
      <c r="D167" s="37"/>
    </row>
    <row r="168" ht="29.25" customHeight="1">
      <c r="A168" s="176" t="s">
        <v>668</v>
      </c>
      <c r="B168" s="177"/>
      <c r="C168" s="178"/>
      <c r="D168" s="118"/>
    </row>
    <row r="169" ht="14.25" customHeight="1">
      <c r="A169" s="55" t="s">
        <v>672</v>
      </c>
      <c r="B169" s="120">
        <v>2000.0</v>
      </c>
      <c r="C169" s="121">
        <f t="shared" ref="C169:C221" si="4">B169*0.97</f>
        <v>1940</v>
      </c>
      <c r="D169" s="37"/>
    </row>
    <row r="170" ht="14.25" customHeight="1">
      <c r="A170" s="126" t="s">
        <v>677</v>
      </c>
      <c r="B170" s="123">
        <v>2000.0</v>
      </c>
      <c r="C170" s="124">
        <f t="shared" si="4"/>
        <v>1940</v>
      </c>
      <c r="D170" s="37"/>
    </row>
    <row r="171" ht="14.25" customHeight="1">
      <c r="A171" s="55" t="s">
        <v>679</v>
      </c>
      <c r="B171" s="120">
        <v>2000.0</v>
      </c>
      <c r="C171" s="121">
        <f t="shared" si="4"/>
        <v>1940</v>
      </c>
      <c r="D171" s="37"/>
    </row>
    <row r="172" ht="14.25" customHeight="1">
      <c r="A172" s="122" t="s">
        <v>681</v>
      </c>
      <c r="B172" s="123">
        <v>2000.0</v>
      </c>
      <c r="C172" s="124">
        <f t="shared" si="4"/>
        <v>1940</v>
      </c>
      <c r="D172" s="37"/>
    </row>
    <row r="173" ht="14.25" customHeight="1">
      <c r="A173" s="55" t="s">
        <v>684</v>
      </c>
      <c r="B173" s="120">
        <v>2000.0</v>
      </c>
      <c r="C173" s="121">
        <f t="shared" si="4"/>
        <v>1940</v>
      </c>
      <c r="D173" s="37"/>
    </row>
    <row r="174" ht="14.25" customHeight="1">
      <c r="A174" s="122" t="s">
        <v>686</v>
      </c>
      <c r="B174" s="123">
        <v>2000.0</v>
      </c>
      <c r="C174" s="124">
        <f t="shared" si="4"/>
        <v>1940</v>
      </c>
      <c r="D174" s="37"/>
    </row>
    <row r="175" ht="14.25" customHeight="1">
      <c r="A175" s="55" t="s">
        <v>688</v>
      </c>
      <c r="B175" s="120">
        <v>2000.0</v>
      </c>
      <c r="C175" s="121">
        <f t="shared" si="4"/>
        <v>1940</v>
      </c>
      <c r="D175" s="37"/>
    </row>
    <row r="176" ht="14.25" customHeight="1">
      <c r="A176" s="122" t="s">
        <v>690</v>
      </c>
      <c r="B176" s="123">
        <v>2000.0</v>
      </c>
      <c r="C176" s="124">
        <f t="shared" si="4"/>
        <v>1940</v>
      </c>
      <c r="D176" s="37"/>
    </row>
    <row r="177" ht="14.25" customHeight="1">
      <c r="A177" s="55" t="s">
        <v>691</v>
      </c>
      <c r="B177" s="120">
        <v>2000.0</v>
      </c>
      <c r="C177" s="121">
        <f t="shared" si="4"/>
        <v>1940</v>
      </c>
      <c r="D177" s="37"/>
    </row>
    <row r="178" ht="14.25" customHeight="1">
      <c r="A178" s="122" t="s">
        <v>693</v>
      </c>
      <c r="B178" s="123">
        <v>2000.0</v>
      </c>
      <c r="C178" s="124">
        <f t="shared" si="4"/>
        <v>1940</v>
      </c>
      <c r="D178" s="37"/>
    </row>
    <row r="179" ht="14.25" customHeight="1">
      <c r="A179" s="55" t="s">
        <v>696</v>
      </c>
      <c r="B179" s="120">
        <v>2000.0</v>
      </c>
      <c r="C179" s="121">
        <f t="shared" si="4"/>
        <v>1940</v>
      </c>
      <c r="D179" s="37"/>
    </row>
    <row r="180" ht="14.25" customHeight="1">
      <c r="A180" s="122" t="s">
        <v>700</v>
      </c>
      <c r="B180" s="123">
        <v>2000.0</v>
      </c>
      <c r="C180" s="124">
        <f t="shared" si="4"/>
        <v>1940</v>
      </c>
      <c r="D180" s="37"/>
    </row>
    <row r="181" ht="14.25" customHeight="1">
      <c r="A181" s="55" t="s">
        <v>702</v>
      </c>
      <c r="B181" s="120">
        <v>2000.0</v>
      </c>
      <c r="C181" s="121">
        <f t="shared" si="4"/>
        <v>1940</v>
      </c>
      <c r="D181" s="37"/>
    </row>
    <row r="182" ht="14.25" customHeight="1">
      <c r="A182" s="122" t="s">
        <v>704</v>
      </c>
      <c r="B182" s="123">
        <v>2000.0</v>
      </c>
      <c r="C182" s="124">
        <f t="shared" si="4"/>
        <v>1940</v>
      </c>
      <c r="D182" s="37"/>
    </row>
    <row r="183" ht="14.25" customHeight="1">
      <c r="A183" s="55" t="s">
        <v>706</v>
      </c>
      <c r="B183" s="120">
        <v>2000.0</v>
      </c>
      <c r="C183" s="121">
        <f t="shared" si="4"/>
        <v>1940</v>
      </c>
      <c r="D183" s="37"/>
    </row>
    <row r="184" ht="14.25" customHeight="1">
      <c r="A184" s="126" t="s">
        <v>709</v>
      </c>
      <c r="B184" s="186">
        <v>2200.0</v>
      </c>
      <c r="C184" s="124">
        <f t="shared" si="4"/>
        <v>2134</v>
      </c>
      <c r="D184" s="37"/>
    </row>
    <row r="185" ht="14.25" customHeight="1">
      <c r="A185" s="55" t="s">
        <v>732</v>
      </c>
      <c r="B185" s="120">
        <v>2000.0</v>
      </c>
      <c r="C185" s="121">
        <f t="shared" si="4"/>
        <v>1940</v>
      </c>
      <c r="D185" s="37"/>
    </row>
    <row r="186" ht="14.25" customHeight="1">
      <c r="A186" s="122" t="s">
        <v>736</v>
      </c>
      <c r="B186" s="123">
        <v>2000.0</v>
      </c>
      <c r="C186" s="124">
        <f t="shared" si="4"/>
        <v>1940</v>
      </c>
      <c r="D186" s="37"/>
    </row>
    <row r="187" ht="14.25" customHeight="1">
      <c r="A187" s="55" t="s">
        <v>739</v>
      </c>
      <c r="B187" s="120">
        <v>2000.0</v>
      </c>
      <c r="C187" s="121">
        <f t="shared" si="4"/>
        <v>1940</v>
      </c>
      <c r="D187" s="37"/>
    </row>
    <row r="188" ht="14.25" customHeight="1">
      <c r="A188" s="122" t="s">
        <v>741</v>
      </c>
      <c r="B188" s="123">
        <v>2000.0</v>
      </c>
      <c r="C188" s="124">
        <f t="shared" si="4"/>
        <v>1940</v>
      </c>
      <c r="D188" s="37"/>
    </row>
    <row r="189" ht="14.25" customHeight="1">
      <c r="A189" s="55" t="s">
        <v>746</v>
      </c>
      <c r="B189" s="120">
        <v>2000.0</v>
      </c>
      <c r="C189" s="121">
        <f t="shared" si="4"/>
        <v>1940</v>
      </c>
      <c r="D189" s="37"/>
    </row>
    <row r="190" ht="17.25" customHeight="1">
      <c r="A190" s="122" t="s">
        <v>749</v>
      </c>
      <c r="B190" s="123">
        <v>2000.0</v>
      </c>
      <c r="C190" s="124">
        <f t="shared" si="4"/>
        <v>1940</v>
      </c>
      <c r="D190" s="37"/>
    </row>
    <row r="191" ht="17.25" customHeight="1">
      <c r="A191" s="55" t="s">
        <v>752</v>
      </c>
      <c r="B191" s="120">
        <v>2000.0</v>
      </c>
      <c r="C191" s="121">
        <f t="shared" si="4"/>
        <v>1940</v>
      </c>
      <c r="D191" s="37"/>
    </row>
    <row r="192" ht="17.25" customHeight="1">
      <c r="A192" s="122" t="s">
        <v>754</v>
      </c>
      <c r="B192" s="123">
        <v>2000.0</v>
      </c>
      <c r="C192" s="124">
        <f t="shared" si="4"/>
        <v>1940</v>
      </c>
      <c r="D192" s="37"/>
    </row>
    <row r="193" ht="17.25" customHeight="1">
      <c r="A193" s="55" t="s">
        <v>758</v>
      </c>
      <c r="B193" s="120">
        <v>2000.0</v>
      </c>
      <c r="C193" s="121">
        <f t="shared" si="4"/>
        <v>1940</v>
      </c>
      <c r="D193" s="37"/>
    </row>
    <row r="194" ht="17.25" customHeight="1">
      <c r="A194" s="126" t="s">
        <v>760</v>
      </c>
      <c r="B194" s="123">
        <v>2000.0</v>
      </c>
      <c r="C194" s="124">
        <f t="shared" si="4"/>
        <v>1940</v>
      </c>
      <c r="D194" s="37"/>
    </row>
    <row r="195" ht="14.25" customHeight="1">
      <c r="A195" s="55" t="s">
        <v>762</v>
      </c>
      <c r="B195" s="158">
        <v>2200.0</v>
      </c>
      <c r="C195" s="121">
        <f t="shared" si="4"/>
        <v>2134</v>
      </c>
      <c r="D195" s="37"/>
    </row>
    <row r="196" ht="14.25" customHeight="1">
      <c r="A196" s="122" t="s">
        <v>765</v>
      </c>
      <c r="B196" s="123">
        <v>2000.0</v>
      </c>
      <c r="C196" s="124">
        <f t="shared" si="4"/>
        <v>1940</v>
      </c>
      <c r="D196" s="37"/>
    </row>
    <row r="197" ht="14.25" customHeight="1">
      <c r="A197" s="55" t="s">
        <v>766</v>
      </c>
      <c r="B197" s="158">
        <v>2200.0</v>
      </c>
      <c r="C197" s="121">
        <f t="shared" si="4"/>
        <v>2134</v>
      </c>
      <c r="D197" s="37"/>
    </row>
    <row r="198" ht="14.25" customHeight="1">
      <c r="A198" s="122" t="s">
        <v>768</v>
      </c>
      <c r="B198" s="123">
        <v>2000.0</v>
      </c>
      <c r="C198" s="124">
        <f t="shared" si="4"/>
        <v>1940</v>
      </c>
      <c r="D198" s="37"/>
    </row>
    <row r="199" ht="14.25" customHeight="1">
      <c r="A199" s="55" t="s">
        <v>770</v>
      </c>
      <c r="B199" s="120">
        <v>2000.0</v>
      </c>
      <c r="C199" s="121">
        <f t="shared" si="4"/>
        <v>1940</v>
      </c>
      <c r="D199" s="37"/>
    </row>
    <row r="200" ht="14.25" customHeight="1">
      <c r="A200" s="122" t="s">
        <v>771</v>
      </c>
      <c r="B200" s="186">
        <v>2200.0</v>
      </c>
      <c r="C200" s="124">
        <f t="shared" si="4"/>
        <v>2134</v>
      </c>
      <c r="D200" s="37"/>
    </row>
    <row r="201" ht="14.25" customHeight="1">
      <c r="A201" s="67" t="s">
        <v>772</v>
      </c>
      <c r="B201" s="120">
        <v>2000.0</v>
      </c>
      <c r="C201" s="121">
        <f t="shared" si="4"/>
        <v>1940</v>
      </c>
      <c r="D201" s="37"/>
    </row>
    <row r="202" ht="14.25" customHeight="1">
      <c r="A202" s="122" t="s">
        <v>773</v>
      </c>
      <c r="B202" s="123">
        <v>2000.0</v>
      </c>
      <c r="C202" s="124">
        <f t="shared" si="4"/>
        <v>1940</v>
      </c>
      <c r="D202" s="37"/>
    </row>
    <row r="203" ht="14.25" customHeight="1">
      <c r="A203" s="67" t="s">
        <v>775</v>
      </c>
      <c r="B203" s="120">
        <v>2000.0</v>
      </c>
      <c r="C203" s="121">
        <f t="shared" si="4"/>
        <v>1940</v>
      </c>
      <c r="D203" s="37"/>
    </row>
    <row r="204" ht="14.25" customHeight="1">
      <c r="A204" s="126" t="s">
        <v>777</v>
      </c>
      <c r="B204" s="123">
        <v>2000.0</v>
      </c>
      <c r="C204" s="124">
        <f t="shared" si="4"/>
        <v>1940</v>
      </c>
      <c r="D204" s="37"/>
    </row>
    <row r="205" ht="14.25" customHeight="1">
      <c r="A205" s="55" t="s">
        <v>778</v>
      </c>
      <c r="B205" s="158">
        <v>2600.0</v>
      </c>
      <c r="C205" s="121">
        <f t="shared" si="4"/>
        <v>2522</v>
      </c>
      <c r="D205" s="37"/>
    </row>
    <row r="206" ht="14.25" customHeight="1">
      <c r="A206" s="122" t="s">
        <v>779</v>
      </c>
      <c r="B206" s="123">
        <v>2000.0</v>
      </c>
      <c r="C206" s="124">
        <f t="shared" si="4"/>
        <v>1940</v>
      </c>
      <c r="D206" s="37"/>
    </row>
    <row r="207" ht="14.25" customHeight="1">
      <c r="A207" s="55" t="s">
        <v>781</v>
      </c>
      <c r="B207" s="120">
        <v>2000.0</v>
      </c>
      <c r="C207" s="121">
        <f t="shared" si="4"/>
        <v>1940</v>
      </c>
      <c r="D207" s="37"/>
    </row>
    <row r="208" ht="14.25" customHeight="1">
      <c r="A208" s="122" t="s">
        <v>784</v>
      </c>
      <c r="B208" s="123">
        <v>2000.0</v>
      </c>
      <c r="C208" s="124">
        <f t="shared" si="4"/>
        <v>1940</v>
      </c>
      <c r="D208" s="37"/>
    </row>
    <row r="209" ht="14.25" customHeight="1">
      <c r="A209" s="55" t="s">
        <v>788</v>
      </c>
      <c r="B209" s="120">
        <v>2200.0</v>
      </c>
      <c r="C209" s="121">
        <f t="shared" si="4"/>
        <v>2134</v>
      </c>
      <c r="D209" s="37"/>
    </row>
    <row r="210" ht="14.25" customHeight="1">
      <c r="A210" s="122" t="s">
        <v>790</v>
      </c>
      <c r="B210" s="123">
        <v>2200.0</v>
      </c>
      <c r="C210" s="124">
        <f t="shared" si="4"/>
        <v>2134</v>
      </c>
      <c r="D210" s="37"/>
    </row>
    <row r="211" ht="14.25" customHeight="1">
      <c r="A211" s="55" t="s">
        <v>796</v>
      </c>
      <c r="B211" s="120">
        <v>2200.0</v>
      </c>
      <c r="C211" s="121">
        <f t="shared" si="4"/>
        <v>2134</v>
      </c>
      <c r="D211" s="37"/>
    </row>
    <row r="212" ht="14.25" customHeight="1">
      <c r="A212" s="122" t="s">
        <v>798</v>
      </c>
      <c r="B212" s="123">
        <v>2200.0</v>
      </c>
      <c r="C212" s="124">
        <f t="shared" si="4"/>
        <v>2134</v>
      </c>
      <c r="D212" s="37"/>
    </row>
    <row r="213" ht="14.25" customHeight="1">
      <c r="A213" s="55" t="s">
        <v>801</v>
      </c>
      <c r="B213" s="120">
        <v>2200.0</v>
      </c>
      <c r="C213" s="121">
        <f t="shared" si="4"/>
        <v>2134</v>
      </c>
      <c r="D213" s="37"/>
    </row>
    <row r="214" ht="14.25" customHeight="1">
      <c r="A214" s="126" t="s">
        <v>805</v>
      </c>
      <c r="B214" s="186">
        <v>2800.0</v>
      </c>
      <c r="C214" s="124">
        <f t="shared" si="4"/>
        <v>2716</v>
      </c>
      <c r="D214" s="37"/>
    </row>
    <row r="215" ht="14.25" customHeight="1">
      <c r="A215" s="55" t="s">
        <v>807</v>
      </c>
      <c r="B215" s="120">
        <v>2200.0</v>
      </c>
      <c r="C215" s="121">
        <f t="shared" si="4"/>
        <v>2134</v>
      </c>
      <c r="D215" s="37"/>
    </row>
    <row r="216" ht="14.25" customHeight="1">
      <c r="A216" s="126" t="s">
        <v>810</v>
      </c>
      <c r="B216" s="186">
        <v>3600.0</v>
      </c>
      <c r="C216" s="124">
        <f t="shared" si="4"/>
        <v>3492</v>
      </c>
      <c r="D216" s="37"/>
    </row>
    <row r="217" ht="14.25" customHeight="1">
      <c r="A217" s="55" t="s">
        <v>812</v>
      </c>
      <c r="B217" s="120">
        <v>2200.0</v>
      </c>
      <c r="C217" s="121">
        <f t="shared" si="4"/>
        <v>2134</v>
      </c>
      <c r="D217" s="37"/>
    </row>
    <row r="218" ht="14.25" customHeight="1">
      <c r="A218" s="122" t="s">
        <v>814</v>
      </c>
      <c r="B218" s="186">
        <v>2000.0</v>
      </c>
      <c r="C218" s="124">
        <f t="shared" si="4"/>
        <v>1940</v>
      </c>
      <c r="D218" s="37"/>
    </row>
    <row r="219" ht="14.25" customHeight="1">
      <c r="A219" s="55" t="s">
        <v>816</v>
      </c>
      <c r="B219" s="120">
        <v>2200.0</v>
      </c>
      <c r="C219" s="121">
        <f t="shared" si="4"/>
        <v>2134</v>
      </c>
      <c r="D219" s="37"/>
    </row>
    <row r="220" ht="14.25" customHeight="1">
      <c r="A220" s="122" t="s">
        <v>818</v>
      </c>
      <c r="B220" s="123">
        <v>2200.0</v>
      </c>
      <c r="C220" s="124">
        <f t="shared" si="4"/>
        <v>2134</v>
      </c>
      <c r="D220" s="37"/>
    </row>
    <row r="221" ht="14.25" customHeight="1">
      <c r="A221" s="55" t="s">
        <v>822</v>
      </c>
      <c r="B221" s="120">
        <v>2000.0</v>
      </c>
      <c r="C221" s="121">
        <f t="shared" si="4"/>
        <v>1940</v>
      </c>
      <c r="D221" s="37"/>
    </row>
    <row r="222" ht="39.75" customHeight="1">
      <c r="A222" s="208" t="s">
        <v>824</v>
      </c>
      <c r="B222" s="16"/>
      <c r="C222" s="17"/>
      <c r="D222" s="37"/>
    </row>
    <row r="223" ht="14.25" customHeight="1">
      <c r="A223" s="209" t="s">
        <v>830</v>
      </c>
      <c r="B223" s="210">
        <v>3500.0</v>
      </c>
      <c r="C223" s="211">
        <f t="shared" ref="C223:C245" si="5">B223*0.97</f>
        <v>3395</v>
      </c>
      <c r="D223" s="37"/>
    </row>
    <row r="224" ht="14.25" customHeight="1">
      <c r="A224" s="209" t="s">
        <v>836</v>
      </c>
      <c r="B224" s="210">
        <v>3500.0</v>
      </c>
      <c r="C224" s="211">
        <f t="shared" si="5"/>
        <v>3395</v>
      </c>
      <c r="D224" s="37"/>
    </row>
    <row r="225" ht="14.25" customHeight="1">
      <c r="A225" s="209" t="s">
        <v>839</v>
      </c>
      <c r="B225" s="210">
        <v>3500.0</v>
      </c>
      <c r="C225" s="211">
        <f t="shared" si="5"/>
        <v>3395</v>
      </c>
      <c r="D225" s="37"/>
    </row>
    <row r="226" ht="14.25" customHeight="1">
      <c r="A226" s="209" t="s">
        <v>841</v>
      </c>
      <c r="B226" s="210">
        <v>3900.0</v>
      </c>
      <c r="C226" s="211">
        <f t="shared" si="5"/>
        <v>3783</v>
      </c>
      <c r="D226" s="37"/>
    </row>
    <row r="227" ht="14.25" customHeight="1">
      <c r="A227" s="209" t="s">
        <v>843</v>
      </c>
      <c r="B227" s="210">
        <v>3500.0</v>
      </c>
      <c r="C227" s="211">
        <f t="shared" si="5"/>
        <v>3395</v>
      </c>
      <c r="D227" s="37"/>
    </row>
    <row r="228" ht="14.25" customHeight="1">
      <c r="A228" s="209" t="s">
        <v>844</v>
      </c>
      <c r="B228" s="210">
        <v>3500.0</v>
      </c>
      <c r="C228" s="211">
        <f t="shared" si="5"/>
        <v>3395</v>
      </c>
      <c r="D228" s="37"/>
    </row>
    <row r="229" ht="14.25" customHeight="1">
      <c r="A229" s="215" t="s">
        <v>846</v>
      </c>
      <c r="B229" s="216">
        <v>3500.0</v>
      </c>
      <c r="C229" s="211">
        <f t="shared" si="5"/>
        <v>3395</v>
      </c>
      <c r="D229" s="37"/>
    </row>
    <row r="230" ht="14.25" customHeight="1">
      <c r="A230" s="215" t="s">
        <v>847</v>
      </c>
      <c r="B230" s="216">
        <v>3800.0</v>
      </c>
      <c r="C230" s="211">
        <f t="shared" si="5"/>
        <v>3686</v>
      </c>
      <c r="D230" s="37"/>
    </row>
    <row r="231" ht="14.25" customHeight="1">
      <c r="A231" s="209" t="s">
        <v>848</v>
      </c>
      <c r="B231" s="210">
        <v>3500.0</v>
      </c>
      <c r="C231" s="211">
        <f t="shared" si="5"/>
        <v>3395</v>
      </c>
      <c r="D231" s="37"/>
    </row>
    <row r="232" ht="14.25" customHeight="1">
      <c r="A232" s="209" t="s">
        <v>849</v>
      </c>
      <c r="B232" s="210">
        <v>3500.0</v>
      </c>
      <c r="C232" s="211">
        <f t="shared" si="5"/>
        <v>3395</v>
      </c>
      <c r="D232" s="37"/>
    </row>
    <row r="233" ht="14.25" customHeight="1">
      <c r="A233" s="209" t="s">
        <v>850</v>
      </c>
      <c r="B233" s="210">
        <v>3500.0</v>
      </c>
      <c r="C233" s="211">
        <f t="shared" si="5"/>
        <v>3395</v>
      </c>
      <c r="D233" s="37"/>
    </row>
    <row r="234" ht="14.25" customHeight="1">
      <c r="A234" s="209" t="s">
        <v>851</v>
      </c>
      <c r="B234" s="210">
        <v>3800.0</v>
      </c>
      <c r="C234" s="211">
        <f t="shared" si="5"/>
        <v>3686</v>
      </c>
      <c r="D234" s="37"/>
    </row>
    <row r="235" ht="14.25" customHeight="1">
      <c r="A235" s="209" t="s">
        <v>852</v>
      </c>
      <c r="B235" s="216">
        <v>3900.0</v>
      </c>
      <c r="C235" s="211">
        <f t="shared" si="5"/>
        <v>3783</v>
      </c>
      <c r="D235" s="37"/>
    </row>
    <row r="236" ht="14.25" customHeight="1">
      <c r="A236" s="209" t="s">
        <v>853</v>
      </c>
      <c r="B236" s="210">
        <v>3500.0</v>
      </c>
      <c r="C236" s="211">
        <f t="shared" si="5"/>
        <v>3395</v>
      </c>
      <c r="D236" s="37"/>
    </row>
    <row r="237" ht="14.25" customHeight="1">
      <c r="A237" s="209" t="s">
        <v>854</v>
      </c>
      <c r="B237" s="216">
        <v>3900.0</v>
      </c>
      <c r="C237" s="211">
        <f t="shared" si="5"/>
        <v>3783</v>
      </c>
      <c r="D237" s="37"/>
    </row>
    <row r="238" ht="14.25" customHeight="1">
      <c r="A238" s="209" t="s">
        <v>855</v>
      </c>
      <c r="B238" s="210">
        <v>3900.0</v>
      </c>
      <c r="C238" s="211">
        <f t="shared" si="5"/>
        <v>3783</v>
      </c>
      <c r="D238" s="37"/>
    </row>
    <row r="239" ht="14.25" customHeight="1">
      <c r="A239" s="209" t="s">
        <v>856</v>
      </c>
      <c r="B239" s="210">
        <v>3900.0</v>
      </c>
      <c r="C239" s="211">
        <f t="shared" si="5"/>
        <v>3783</v>
      </c>
      <c r="D239" s="37"/>
    </row>
    <row r="240" ht="14.25" customHeight="1">
      <c r="A240" s="215" t="s">
        <v>857</v>
      </c>
      <c r="B240" s="216">
        <v>3900.0</v>
      </c>
      <c r="C240" s="211">
        <f t="shared" si="5"/>
        <v>3783</v>
      </c>
      <c r="D240" s="37"/>
    </row>
    <row r="241" ht="14.25" customHeight="1">
      <c r="A241" s="215" t="s">
        <v>858</v>
      </c>
      <c r="B241" s="216">
        <v>3900.0</v>
      </c>
      <c r="C241" s="211">
        <f t="shared" si="5"/>
        <v>3783</v>
      </c>
      <c r="D241" s="37"/>
    </row>
    <row r="242" ht="14.25" customHeight="1">
      <c r="A242" s="209" t="s">
        <v>859</v>
      </c>
      <c r="B242" s="210">
        <v>4900.0</v>
      </c>
      <c r="C242" s="211">
        <f t="shared" si="5"/>
        <v>4753</v>
      </c>
      <c r="D242" s="37"/>
    </row>
    <row r="243" ht="14.25" customHeight="1">
      <c r="A243" s="209" t="s">
        <v>860</v>
      </c>
      <c r="B243" s="210">
        <v>5300.0</v>
      </c>
      <c r="C243" s="211">
        <f t="shared" si="5"/>
        <v>5141</v>
      </c>
      <c r="D243" s="37"/>
    </row>
    <row r="244" ht="14.25" customHeight="1">
      <c r="A244" s="209" t="s">
        <v>862</v>
      </c>
      <c r="B244" s="210">
        <v>5300.0</v>
      </c>
      <c r="C244" s="211">
        <f t="shared" si="5"/>
        <v>5141</v>
      </c>
      <c r="D244" s="37"/>
    </row>
    <row r="245" ht="14.25" customHeight="1">
      <c r="A245" s="209" t="s">
        <v>863</v>
      </c>
      <c r="B245" s="210">
        <v>5300.0</v>
      </c>
      <c r="C245" s="211">
        <f t="shared" si="5"/>
        <v>5141</v>
      </c>
      <c r="D245" s="37"/>
    </row>
    <row r="246" ht="25.5" customHeight="1">
      <c r="A246" s="220" t="s">
        <v>865</v>
      </c>
      <c r="B246" s="224"/>
      <c r="C246" s="211"/>
      <c r="D246" s="37"/>
    </row>
    <row r="247" ht="17.25" customHeight="1">
      <c r="A247" s="215" t="s">
        <v>878</v>
      </c>
      <c r="B247" s="238">
        <v>7500.0</v>
      </c>
      <c r="C247" s="211">
        <f t="shared" ref="C247:C252" si="6">B247*0.97</f>
        <v>7275</v>
      </c>
      <c r="D247" s="37"/>
    </row>
    <row r="248" ht="17.25" customHeight="1">
      <c r="A248" s="215" t="s">
        <v>885</v>
      </c>
      <c r="B248" s="238">
        <v>11900.0</v>
      </c>
      <c r="C248" s="211">
        <f t="shared" si="6"/>
        <v>11543</v>
      </c>
      <c r="D248" s="37"/>
    </row>
    <row r="249" ht="17.25" customHeight="1">
      <c r="A249" s="215" t="s">
        <v>888</v>
      </c>
      <c r="B249" s="238">
        <v>11900.0</v>
      </c>
      <c r="C249" s="211">
        <f t="shared" si="6"/>
        <v>11543</v>
      </c>
      <c r="D249" s="37"/>
    </row>
    <row r="250" ht="17.25" customHeight="1">
      <c r="A250" s="215" t="s">
        <v>890</v>
      </c>
      <c r="B250" s="238">
        <v>5000.0</v>
      </c>
      <c r="C250" s="211">
        <f t="shared" si="6"/>
        <v>4850</v>
      </c>
      <c r="D250" s="37"/>
    </row>
    <row r="251" ht="17.25" customHeight="1">
      <c r="A251" s="215" t="s">
        <v>891</v>
      </c>
      <c r="B251" s="238">
        <v>8500.0</v>
      </c>
      <c r="C251" s="211">
        <f t="shared" si="6"/>
        <v>8245</v>
      </c>
      <c r="D251" s="37"/>
    </row>
    <row r="252" ht="17.25" customHeight="1">
      <c r="A252" s="209" t="s">
        <v>896</v>
      </c>
      <c r="B252" s="216">
        <v>8500.0</v>
      </c>
      <c r="C252" s="211">
        <f t="shared" si="6"/>
        <v>8245</v>
      </c>
      <c r="D252" s="37"/>
    </row>
    <row r="253" ht="29.25" customHeight="1">
      <c r="A253" s="220" t="s">
        <v>897</v>
      </c>
      <c r="B253" s="238"/>
      <c r="C253" s="211"/>
      <c r="D253" s="37"/>
    </row>
    <row r="254" ht="17.25" customHeight="1">
      <c r="A254" s="215" t="s">
        <v>899</v>
      </c>
      <c r="B254" s="244">
        <v>2800.0</v>
      </c>
      <c r="C254" s="211">
        <f t="shared" ref="C254:C255" si="7">B254*0.97</f>
        <v>2716</v>
      </c>
      <c r="D254" s="37"/>
    </row>
    <row r="255" ht="17.25" customHeight="1">
      <c r="A255" s="215" t="s">
        <v>902</v>
      </c>
      <c r="B255" s="244">
        <v>2800.0</v>
      </c>
      <c r="C255" s="211">
        <f t="shared" si="7"/>
        <v>2716</v>
      </c>
      <c r="D255" s="37"/>
    </row>
    <row r="256" ht="17.25" customHeight="1">
      <c r="A256" s="209"/>
      <c r="B256" s="244"/>
      <c r="C256" s="211"/>
      <c r="D256" s="37"/>
    </row>
    <row r="257" ht="23.25" customHeight="1">
      <c r="A257" s="220" t="s">
        <v>905</v>
      </c>
      <c r="B257" s="238"/>
      <c r="C257" s="211"/>
      <c r="D257" s="37"/>
    </row>
    <row r="258" ht="17.25" customHeight="1">
      <c r="A258" s="252" t="s">
        <v>907</v>
      </c>
      <c r="B258" s="244">
        <v>3500.0</v>
      </c>
      <c r="C258" s="211">
        <f t="shared" ref="C258:C267" si="8">B258*0.97</f>
        <v>3395</v>
      </c>
      <c r="D258" s="37"/>
    </row>
    <row r="259" ht="17.25" customHeight="1">
      <c r="A259" s="252" t="s">
        <v>918</v>
      </c>
      <c r="B259" s="244">
        <v>3500.0</v>
      </c>
      <c r="C259" s="211">
        <f t="shared" si="8"/>
        <v>3395</v>
      </c>
      <c r="D259" s="37"/>
    </row>
    <row r="260" ht="17.25" customHeight="1">
      <c r="A260" s="252" t="s">
        <v>919</v>
      </c>
      <c r="B260" s="244">
        <v>4200.0</v>
      </c>
      <c r="C260" s="211">
        <f t="shared" si="8"/>
        <v>4074</v>
      </c>
      <c r="D260" s="37"/>
    </row>
    <row r="261" ht="17.25" customHeight="1">
      <c r="A261" s="252" t="s">
        <v>920</v>
      </c>
      <c r="B261" s="244">
        <v>4200.0</v>
      </c>
      <c r="C261" s="211">
        <f t="shared" si="8"/>
        <v>4074</v>
      </c>
      <c r="D261" s="37"/>
    </row>
    <row r="262" ht="17.25" customHeight="1">
      <c r="A262" s="252" t="s">
        <v>921</v>
      </c>
      <c r="B262" s="244">
        <v>4800.0</v>
      </c>
      <c r="C262" s="211">
        <f t="shared" si="8"/>
        <v>4656</v>
      </c>
      <c r="D262" s="37"/>
    </row>
    <row r="263" ht="17.25" customHeight="1">
      <c r="A263" s="252" t="s">
        <v>923</v>
      </c>
      <c r="B263" s="244">
        <v>4800.0</v>
      </c>
      <c r="C263" s="211">
        <f t="shared" si="8"/>
        <v>4656</v>
      </c>
      <c r="D263" s="37"/>
    </row>
    <row r="264" ht="17.25" customHeight="1">
      <c r="A264" s="252" t="s">
        <v>925</v>
      </c>
      <c r="B264" s="244">
        <v>4200.0</v>
      </c>
      <c r="C264" s="211">
        <f t="shared" si="8"/>
        <v>4074</v>
      </c>
      <c r="D264" s="37"/>
    </row>
    <row r="265" ht="17.25" customHeight="1">
      <c r="A265" s="252" t="s">
        <v>930</v>
      </c>
      <c r="B265" s="244">
        <v>4800.0</v>
      </c>
      <c r="C265" s="211">
        <f t="shared" si="8"/>
        <v>4656</v>
      </c>
      <c r="D265" s="37"/>
    </row>
    <row r="266" ht="17.25" customHeight="1">
      <c r="A266" s="252" t="s">
        <v>931</v>
      </c>
      <c r="B266" s="244">
        <v>5000.0</v>
      </c>
      <c r="C266" s="211">
        <f t="shared" si="8"/>
        <v>4850</v>
      </c>
      <c r="D266" s="37"/>
    </row>
    <row r="267" ht="17.25" customHeight="1">
      <c r="A267" s="252" t="s">
        <v>934</v>
      </c>
      <c r="B267" s="244">
        <v>5000.0</v>
      </c>
      <c r="C267" s="211">
        <f t="shared" si="8"/>
        <v>4850</v>
      </c>
      <c r="D267" s="37"/>
    </row>
    <row r="268" ht="17.25" customHeight="1">
      <c r="A268" s="252" t="s">
        <v>935</v>
      </c>
      <c r="B268" s="244">
        <v>5000.0</v>
      </c>
      <c r="C268" s="211"/>
      <c r="D268" s="37"/>
    </row>
    <row r="269" ht="25.5" customHeight="1">
      <c r="A269" s="220" t="s">
        <v>937</v>
      </c>
      <c r="B269" s="224"/>
      <c r="C269" s="211">
        <f t="shared" ref="C269:C396" si="9">B269*0.97</f>
        <v>0</v>
      </c>
      <c r="D269" s="37"/>
    </row>
    <row r="270" ht="20.25" customHeight="1">
      <c r="A270" s="259" t="s">
        <v>940</v>
      </c>
      <c r="B270" s="260">
        <v>2000.0</v>
      </c>
      <c r="C270" s="211">
        <f t="shared" si="9"/>
        <v>1940</v>
      </c>
      <c r="D270" s="37"/>
    </row>
    <row r="271" ht="14.25" customHeight="1">
      <c r="A271" s="261" t="s">
        <v>136</v>
      </c>
      <c r="B271" s="262"/>
      <c r="C271" s="263">
        <f t="shared" si="9"/>
        <v>0</v>
      </c>
      <c r="D271" s="37"/>
    </row>
    <row r="272" ht="14.25" customHeight="1">
      <c r="A272" s="264" t="s">
        <v>8</v>
      </c>
      <c r="B272" s="265"/>
      <c r="C272" s="263">
        <f t="shared" si="9"/>
        <v>0</v>
      </c>
      <c r="D272" s="37"/>
    </row>
    <row r="273" ht="14.25" customHeight="1">
      <c r="A273" s="266" t="s">
        <v>948</v>
      </c>
      <c r="B273" s="267">
        <v>3500.0</v>
      </c>
      <c r="C273" s="263">
        <f t="shared" si="9"/>
        <v>3395</v>
      </c>
      <c r="D273" s="37"/>
    </row>
    <row r="274" ht="14.25" customHeight="1">
      <c r="A274" s="268" t="s">
        <v>954</v>
      </c>
      <c r="B274" s="269">
        <v>2500.0</v>
      </c>
      <c r="C274" s="263">
        <f t="shared" si="9"/>
        <v>2425</v>
      </c>
      <c r="D274" s="37"/>
    </row>
    <row r="275" ht="14.25" customHeight="1">
      <c r="A275" s="268" t="s">
        <v>957</v>
      </c>
      <c r="B275" s="269">
        <v>4500.0</v>
      </c>
      <c r="C275" s="263">
        <f t="shared" si="9"/>
        <v>4365</v>
      </c>
      <c r="D275" s="37"/>
    </row>
    <row r="276" ht="14.25" customHeight="1">
      <c r="A276" s="266" t="s">
        <v>960</v>
      </c>
      <c r="B276" s="267">
        <v>4000.0</v>
      </c>
      <c r="C276" s="263">
        <f t="shared" si="9"/>
        <v>3880</v>
      </c>
      <c r="D276" s="37"/>
    </row>
    <row r="277" ht="14.25" customHeight="1">
      <c r="A277" s="268" t="s">
        <v>962</v>
      </c>
      <c r="B277" s="269">
        <v>4500.0</v>
      </c>
      <c r="C277" s="263">
        <f t="shared" si="9"/>
        <v>4365</v>
      </c>
      <c r="D277" s="37"/>
    </row>
    <row r="278" ht="14.25" customHeight="1">
      <c r="A278" s="266" t="s">
        <v>967</v>
      </c>
      <c r="B278" s="267">
        <v>4000.0</v>
      </c>
      <c r="C278" s="263">
        <f t="shared" si="9"/>
        <v>3880</v>
      </c>
      <c r="D278" s="37"/>
    </row>
    <row r="279" ht="14.25" customHeight="1">
      <c r="A279" s="268" t="s">
        <v>971</v>
      </c>
      <c r="B279" s="269">
        <v>9000.0</v>
      </c>
      <c r="C279" s="263">
        <f t="shared" si="9"/>
        <v>8730</v>
      </c>
      <c r="D279" s="37"/>
      <c r="E279" s="34"/>
    </row>
    <row r="280" ht="14.25" customHeight="1">
      <c r="A280" s="266" t="s">
        <v>973</v>
      </c>
      <c r="B280" s="269">
        <v>4000.0</v>
      </c>
      <c r="C280" s="263">
        <f t="shared" si="9"/>
        <v>3880</v>
      </c>
      <c r="D280" s="37"/>
      <c r="E280" s="34"/>
    </row>
    <row r="281" ht="14.25" customHeight="1">
      <c r="A281" s="270" t="s">
        <v>976</v>
      </c>
      <c r="B281" s="271">
        <v>12500.0</v>
      </c>
      <c r="C281" s="272">
        <f t="shared" si="9"/>
        <v>12125</v>
      </c>
      <c r="D281" s="37"/>
    </row>
    <row r="282" ht="14.25" customHeight="1">
      <c r="A282" s="266" t="s">
        <v>981</v>
      </c>
      <c r="B282" s="267">
        <v>4000.0</v>
      </c>
      <c r="C282" s="263">
        <f t="shared" si="9"/>
        <v>3880</v>
      </c>
      <c r="D282" s="37"/>
    </row>
    <row r="283" ht="14.25" customHeight="1">
      <c r="A283" s="270" t="s">
        <v>984</v>
      </c>
      <c r="B283" s="271">
        <v>12500.0</v>
      </c>
      <c r="C283" s="272">
        <f t="shared" si="9"/>
        <v>12125</v>
      </c>
      <c r="D283" s="37"/>
    </row>
    <row r="284" ht="14.25" customHeight="1">
      <c r="A284" s="266" t="s">
        <v>985</v>
      </c>
      <c r="B284" s="269">
        <v>4000.0</v>
      </c>
      <c r="C284" s="263">
        <f t="shared" si="9"/>
        <v>3880</v>
      </c>
      <c r="D284" s="37"/>
    </row>
    <row r="285" ht="14.25" customHeight="1">
      <c r="A285" s="266" t="s">
        <v>987</v>
      </c>
      <c r="B285" s="269">
        <v>4400.0</v>
      </c>
      <c r="C285" s="263">
        <f t="shared" si="9"/>
        <v>4268</v>
      </c>
      <c r="D285" s="37"/>
    </row>
    <row r="286" ht="14.25" customHeight="1">
      <c r="A286" s="268" t="s">
        <v>988</v>
      </c>
      <c r="B286" s="269">
        <v>4500.0</v>
      </c>
      <c r="C286" s="263">
        <f t="shared" si="9"/>
        <v>4365</v>
      </c>
      <c r="D286" s="37"/>
    </row>
    <row r="287" ht="14.25" customHeight="1">
      <c r="A287" s="266" t="s">
        <v>990</v>
      </c>
      <c r="B287" s="267">
        <v>4900.0</v>
      </c>
      <c r="C287" s="263">
        <f t="shared" si="9"/>
        <v>4753</v>
      </c>
      <c r="D287" s="37"/>
    </row>
    <row r="288" ht="14.25" customHeight="1">
      <c r="A288" s="270" t="s">
        <v>991</v>
      </c>
      <c r="B288" s="271">
        <v>12500.0</v>
      </c>
      <c r="C288" s="272">
        <f t="shared" si="9"/>
        <v>12125</v>
      </c>
      <c r="D288" s="37"/>
    </row>
    <row r="289" ht="14.25" customHeight="1">
      <c r="A289" s="266" t="s">
        <v>993</v>
      </c>
      <c r="B289" s="269">
        <v>9000.0</v>
      </c>
      <c r="C289" s="263">
        <f t="shared" si="9"/>
        <v>8730</v>
      </c>
      <c r="D289" s="37"/>
    </row>
    <row r="290" ht="14.25" customHeight="1">
      <c r="A290" s="266" t="s">
        <v>995</v>
      </c>
      <c r="B290" s="267">
        <v>4900.0</v>
      </c>
      <c r="C290" s="263">
        <f t="shared" si="9"/>
        <v>4753</v>
      </c>
      <c r="D290" s="37"/>
    </row>
    <row r="291" ht="14.25" customHeight="1">
      <c r="A291" s="270" t="s">
        <v>998</v>
      </c>
      <c r="B291" s="271">
        <v>12500.0</v>
      </c>
      <c r="C291" s="272">
        <f t="shared" si="9"/>
        <v>12125</v>
      </c>
      <c r="D291" s="37"/>
    </row>
    <row r="292" ht="14.25" customHeight="1">
      <c r="A292" s="266" t="s">
        <v>999</v>
      </c>
      <c r="B292" s="267">
        <v>4500.0</v>
      </c>
      <c r="C292" s="263">
        <f t="shared" si="9"/>
        <v>4365</v>
      </c>
      <c r="D292" s="37"/>
    </row>
    <row r="293" ht="14.25" customHeight="1">
      <c r="A293" s="270" t="s">
        <v>1001</v>
      </c>
      <c r="B293" s="271">
        <v>12500.0</v>
      </c>
      <c r="C293" s="272">
        <f t="shared" si="9"/>
        <v>12125</v>
      </c>
      <c r="D293" s="37"/>
    </row>
    <row r="294" ht="14.25" customHeight="1">
      <c r="A294" s="266" t="s">
        <v>1002</v>
      </c>
      <c r="B294" s="267">
        <v>4000.0</v>
      </c>
      <c r="C294" s="263">
        <f t="shared" si="9"/>
        <v>3880</v>
      </c>
      <c r="D294" s="37"/>
    </row>
    <row r="295" ht="14.25" customHeight="1">
      <c r="A295" s="268" t="s">
        <v>1003</v>
      </c>
      <c r="B295" s="269">
        <v>11000.0</v>
      </c>
      <c r="C295" s="263">
        <f t="shared" si="9"/>
        <v>10670</v>
      </c>
      <c r="D295" s="37"/>
    </row>
    <row r="296" ht="14.25" customHeight="1">
      <c r="A296" s="266" t="s">
        <v>1005</v>
      </c>
      <c r="B296" s="269">
        <v>4500.0</v>
      </c>
      <c r="C296" s="263">
        <f t="shared" si="9"/>
        <v>4365</v>
      </c>
      <c r="D296" s="37"/>
    </row>
    <row r="297" ht="14.25" customHeight="1">
      <c r="A297" s="266" t="s">
        <v>1008</v>
      </c>
      <c r="B297" s="269">
        <v>11000.0</v>
      </c>
      <c r="C297" s="263">
        <f t="shared" si="9"/>
        <v>10670</v>
      </c>
      <c r="D297" s="37"/>
    </row>
    <row r="298" ht="14.25" customHeight="1">
      <c r="A298" s="266" t="s">
        <v>1010</v>
      </c>
      <c r="B298" s="269">
        <v>8000.0</v>
      </c>
      <c r="C298" s="263">
        <f t="shared" si="9"/>
        <v>7760</v>
      </c>
      <c r="D298" s="37"/>
    </row>
    <row r="299" ht="14.25" customHeight="1">
      <c r="A299" s="268" t="s">
        <v>1011</v>
      </c>
      <c r="B299" s="269">
        <v>4300.0</v>
      </c>
      <c r="C299" s="263">
        <f t="shared" si="9"/>
        <v>4171</v>
      </c>
      <c r="D299" s="37"/>
    </row>
    <row r="300" ht="14.25" customHeight="1">
      <c r="A300" s="268" t="s">
        <v>1013</v>
      </c>
      <c r="B300" s="269">
        <v>4500.0</v>
      </c>
      <c r="C300" s="263">
        <f t="shared" si="9"/>
        <v>4365</v>
      </c>
      <c r="D300" s="37"/>
    </row>
    <row r="301" ht="14.25" customHeight="1">
      <c r="A301" s="268" t="s">
        <v>1015</v>
      </c>
      <c r="B301" s="269">
        <v>4500.0</v>
      </c>
      <c r="C301" s="263">
        <f t="shared" si="9"/>
        <v>4365</v>
      </c>
      <c r="D301" s="37"/>
    </row>
    <row r="302" ht="14.25" customHeight="1">
      <c r="A302" s="270" t="s">
        <v>1017</v>
      </c>
      <c r="B302" s="271">
        <v>12500.0</v>
      </c>
      <c r="C302" s="272">
        <f t="shared" si="9"/>
        <v>12125</v>
      </c>
      <c r="D302" s="37"/>
    </row>
    <row r="303" ht="14.25" customHeight="1">
      <c r="A303" s="268" t="s">
        <v>1019</v>
      </c>
      <c r="B303" s="269">
        <v>15000.0</v>
      </c>
      <c r="C303" s="263">
        <f t="shared" si="9"/>
        <v>14550</v>
      </c>
      <c r="D303" s="37"/>
    </row>
    <row r="304" ht="14.25" customHeight="1">
      <c r="A304" s="268" t="s">
        <v>1020</v>
      </c>
      <c r="B304" s="269">
        <v>3500.0</v>
      </c>
      <c r="C304" s="263">
        <f t="shared" si="9"/>
        <v>3395</v>
      </c>
      <c r="D304" s="37"/>
    </row>
    <row r="305" ht="14.25" customHeight="1">
      <c r="A305" s="266" t="s">
        <v>1021</v>
      </c>
      <c r="B305" s="267">
        <v>7500.0</v>
      </c>
      <c r="C305" s="263">
        <f t="shared" si="9"/>
        <v>7275</v>
      </c>
      <c r="D305" s="37"/>
    </row>
    <row r="306" ht="14.25" customHeight="1">
      <c r="A306" s="266" t="s">
        <v>1024</v>
      </c>
      <c r="B306" s="269">
        <v>4000.0</v>
      </c>
      <c r="C306" s="263">
        <f t="shared" si="9"/>
        <v>3880</v>
      </c>
      <c r="D306" s="37"/>
      <c r="G306" s="289"/>
      <c r="H306" s="290"/>
      <c r="I306" s="291"/>
    </row>
    <row r="307" ht="14.25" customHeight="1">
      <c r="A307" s="266" t="s">
        <v>1028</v>
      </c>
      <c r="B307" s="267">
        <v>7500.0</v>
      </c>
      <c r="C307" s="263">
        <f t="shared" si="9"/>
        <v>7275</v>
      </c>
      <c r="D307" s="37"/>
      <c r="F307" s="292"/>
    </row>
    <row r="308" ht="14.25" customHeight="1">
      <c r="A308" s="293" t="s">
        <v>1031</v>
      </c>
      <c r="B308" s="294">
        <v>12500.0</v>
      </c>
      <c r="C308" s="295">
        <f t="shared" si="9"/>
        <v>12125</v>
      </c>
      <c r="D308" s="37"/>
    </row>
    <row r="309" ht="14.25" customHeight="1">
      <c r="A309" s="266" t="s">
        <v>1033</v>
      </c>
      <c r="B309" s="269">
        <v>4000.0</v>
      </c>
      <c r="C309" s="263">
        <f t="shared" si="9"/>
        <v>3880</v>
      </c>
      <c r="D309" s="37"/>
    </row>
    <row r="310" ht="14.25" customHeight="1">
      <c r="A310" s="268" t="s">
        <v>1036</v>
      </c>
      <c r="B310" s="269">
        <v>4000.0</v>
      </c>
      <c r="C310" s="263">
        <f t="shared" si="9"/>
        <v>3880</v>
      </c>
      <c r="D310" s="37"/>
    </row>
    <row r="311" ht="14.25" customHeight="1">
      <c r="A311" s="266" t="s">
        <v>1037</v>
      </c>
      <c r="B311" s="267">
        <v>7500.0</v>
      </c>
      <c r="C311" s="263">
        <f t="shared" si="9"/>
        <v>7275</v>
      </c>
      <c r="D311" s="37"/>
    </row>
    <row r="312" ht="14.25" customHeight="1">
      <c r="A312" s="266" t="s">
        <v>1040</v>
      </c>
      <c r="B312" s="269">
        <v>4500.0</v>
      </c>
      <c r="C312" s="263">
        <f t="shared" si="9"/>
        <v>4365</v>
      </c>
      <c r="D312" s="37"/>
    </row>
    <row r="313" ht="14.25" customHeight="1">
      <c r="A313" s="266" t="s">
        <v>1041</v>
      </c>
      <c r="B313" s="269">
        <v>4500.0</v>
      </c>
      <c r="C313" s="263">
        <f t="shared" si="9"/>
        <v>4365</v>
      </c>
      <c r="D313" s="37"/>
    </row>
    <row r="314" ht="14.25" customHeight="1">
      <c r="A314" s="266" t="s">
        <v>1043</v>
      </c>
      <c r="B314" s="267">
        <v>4000.0</v>
      </c>
      <c r="C314" s="263">
        <f t="shared" si="9"/>
        <v>3880</v>
      </c>
      <c r="D314" s="37"/>
    </row>
    <row r="315" ht="14.25" customHeight="1">
      <c r="A315" s="293" t="s">
        <v>1045</v>
      </c>
      <c r="B315" s="294">
        <v>12500.0</v>
      </c>
      <c r="C315" s="295">
        <f t="shared" si="9"/>
        <v>12125</v>
      </c>
      <c r="D315" s="37"/>
    </row>
    <row r="316" ht="14.25" customHeight="1">
      <c r="A316" s="266" t="s">
        <v>1046</v>
      </c>
      <c r="B316" s="267">
        <v>4000.0</v>
      </c>
      <c r="C316" s="263">
        <f t="shared" si="9"/>
        <v>3880</v>
      </c>
      <c r="D316" s="37"/>
    </row>
    <row r="317" ht="14.25" customHeight="1">
      <c r="A317" s="296" t="s">
        <v>1048</v>
      </c>
      <c r="B317" s="297">
        <v>12500.0</v>
      </c>
      <c r="C317" s="298">
        <f t="shared" si="9"/>
        <v>12125</v>
      </c>
      <c r="D317" s="37"/>
    </row>
    <row r="318" ht="14.25" customHeight="1">
      <c r="A318" s="266" t="s">
        <v>1050</v>
      </c>
      <c r="B318" s="269">
        <v>4000.0</v>
      </c>
      <c r="C318" s="263">
        <f t="shared" si="9"/>
        <v>3880</v>
      </c>
      <c r="D318" s="37"/>
    </row>
    <row r="319" ht="14.25" customHeight="1">
      <c r="A319" s="266" t="s">
        <v>1052</v>
      </c>
      <c r="B319" s="269">
        <v>4500.0</v>
      </c>
      <c r="C319" s="263">
        <f t="shared" si="9"/>
        <v>4365</v>
      </c>
      <c r="D319" s="37"/>
    </row>
    <row r="320" ht="14.25" customHeight="1">
      <c r="A320" s="266" t="s">
        <v>1054</v>
      </c>
      <c r="B320" s="269">
        <v>5000.0</v>
      </c>
      <c r="C320" s="263">
        <f t="shared" si="9"/>
        <v>4850</v>
      </c>
      <c r="D320" s="37"/>
    </row>
    <row r="321" ht="14.25" customHeight="1">
      <c r="A321" s="268" t="s">
        <v>1055</v>
      </c>
      <c r="B321" s="269">
        <v>6500.0</v>
      </c>
      <c r="C321" s="263">
        <f t="shared" si="9"/>
        <v>6305</v>
      </c>
      <c r="D321" s="37"/>
    </row>
    <row r="322" ht="14.25" customHeight="1">
      <c r="A322" s="266" t="s">
        <v>1057</v>
      </c>
      <c r="B322" s="269">
        <v>4500.0</v>
      </c>
      <c r="C322" s="263">
        <f t="shared" si="9"/>
        <v>4365</v>
      </c>
      <c r="D322" s="37"/>
    </row>
    <row r="323" ht="14.25" customHeight="1">
      <c r="A323" s="270" t="s">
        <v>1059</v>
      </c>
      <c r="B323" s="271">
        <v>12500.0</v>
      </c>
      <c r="C323" s="272">
        <f t="shared" si="9"/>
        <v>12125</v>
      </c>
      <c r="D323" s="37"/>
    </row>
    <row r="324" ht="14.25" customHeight="1">
      <c r="A324" s="266" t="s">
        <v>1061</v>
      </c>
      <c r="B324" s="267">
        <v>7500.0</v>
      </c>
      <c r="C324" s="263">
        <f t="shared" si="9"/>
        <v>7275</v>
      </c>
      <c r="D324" s="37"/>
    </row>
    <row r="325" ht="14.25" customHeight="1">
      <c r="A325" s="266" t="s">
        <v>1062</v>
      </c>
      <c r="B325" s="269">
        <v>4500.0</v>
      </c>
      <c r="C325" s="263">
        <f t="shared" si="9"/>
        <v>4365</v>
      </c>
      <c r="D325" s="37"/>
    </row>
    <row r="326" ht="14.25" customHeight="1">
      <c r="A326" s="270" t="s">
        <v>1064</v>
      </c>
      <c r="B326" s="271">
        <v>12500.0</v>
      </c>
      <c r="C326" s="272">
        <f t="shared" si="9"/>
        <v>12125</v>
      </c>
      <c r="D326" s="37"/>
    </row>
    <row r="327" ht="14.25" customHeight="1">
      <c r="A327" s="266" t="s">
        <v>1066</v>
      </c>
      <c r="B327" s="267">
        <v>4400.0</v>
      </c>
      <c r="C327" s="263">
        <f t="shared" si="9"/>
        <v>4268</v>
      </c>
      <c r="D327" s="37"/>
    </row>
    <row r="328" ht="14.25" customHeight="1">
      <c r="A328" s="268" t="s">
        <v>1068</v>
      </c>
      <c r="B328" s="269">
        <v>9500.0</v>
      </c>
      <c r="C328" s="263">
        <f t="shared" si="9"/>
        <v>9215</v>
      </c>
      <c r="D328" s="37"/>
    </row>
    <row r="329" ht="14.25" customHeight="1">
      <c r="A329" s="270" t="s">
        <v>1071</v>
      </c>
      <c r="B329" s="271">
        <v>12500.0</v>
      </c>
      <c r="C329" s="272">
        <f t="shared" si="9"/>
        <v>12125</v>
      </c>
      <c r="D329" s="37"/>
    </row>
    <row r="330" ht="14.25" customHeight="1">
      <c r="A330" s="268" t="s">
        <v>1072</v>
      </c>
      <c r="B330" s="269">
        <v>4500.0</v>
      </c>
      <c r="C330" s="263">
        <f t="shared" si="9"/>
        <v>4365</v>
      </c>
      <c r="D330" s="37"/>
    </row>
    <row r="331" ht="14.25" customHeight="1">
      <c r="A331" s="270" t="s">
        <v>1075</v>
      </c>
      <c r="B331" s="271">
        <v>12500.0</v>
      </c>
      <c r="C331" s="272">
        <f t="shared" si="9"/>
        <v>12125</v>
      </c>
      <c r="D331" s="37"/>
    </row>
    <row r="332" ht="14.25" customHeight="1">
      <c r="A332" s="266" t="s">
        <v>1077</v>
      </c>
      <c r="B332" s="267">
        <v>4800.0</v>
      </c>
      <c r="C332" s="263">
        <f t="shared" si="9"/>
        <v>4656</v>
      </c>
      <c r="D332" s="37"/>
    </row>
    <row r="333" ht="14.25" customHeight="1">
      <c r="A333" s="266" t="s">
        <v>1078</v>
      </c>
      <c r="B333" s="267">
        <v>4900.0</v>
      </c>
      <c r="C333" s="263">
        <f t="shared" si="9"/>
        <v>4753</v>
      </c>
      <c r="D333" s="37"/>
    </row>
    <row r="334" ht="14.25" customHeight="1">
      <c r="A334" s="266" t="s">
        <v>1080</v>
      </c>
      <c r="B334" s="267">
        <v>5900.0</v>
      </c>
      <c r="C334" s="263">
        <f t="shared" si="9"/>
        <v>5723</v>
      </c>
      <c r="D334" s="37"/>
    </row>
    <row r="335" ht="14.25" customHeight="1">
      <c r="A335" s="266" t="s">
        <v>1081</v>
      </c>
      <c r="B335" s="267">
        <v>4700.0</v>
      </c>
      <c r="C335" s="263">
        <f t="shared" si="9"/>
        <v>4559</v>
      </c>
      <c r="D335" s="37"/>
    </row>
    <row r="336" ht="14.25" customHeight="1">
      <c r="A336" s="266" t="s">
        <v>1082</v>
      </c>
      <c r="B336" s="267">
        <v>4900.0</v>
      </c>
      <c r="C336" s="263">
        <f t="shared" si="9"/>
        <v>4753</v>
      </c>
      <c r="D336" s="37"/>
    </row>
    <row r="337" ht="14.25" customHeight="1">
      <c r="A337" s="270" t="s">
        <v>1084</v>
      </c>
      <c r="B337" s="271">
        <v>12500.0</v>
      </c>
      <c r="C337" s="272">
        <f t="shared" si="9"/>
        <v>12125</v>
      </c>
      <c r="D337" s="37"/>
    </row>
    <row r="338" ht="14.25" customHeight="1">
      <c r="A338" s="266" t="s">
        <v>1085</v>
      </c>
      <c r="B338" s="267">
        <v>7500.0</v>
      </c>
      <c r="C338" s="263">
        <f t="shared" si="9"/>
        <v>7275</v>
      </c>
      <c r="D338" s="37"/>
    </row>
    <row r="339" ht="14.25" customHeight="1">
      <c r="A339" s="266" t="s">
        <v>1086</v>
      </c>
      <c r="B339" s="267">
        <v>6400.0</v>
      </c>
      <c r="C339" s="263">
        <f t="shared" si="9"/>
        <v>6208</v>
      </c>
      <c r="D339" s="37"/>
    </row>
    <row r="340" ht="14.25" customHeight="1">
      <c r="A340" s="266" t="s">
        <v>1088</v>
      </c>
      <c r="B340" s="267">
        <v>6400.0</v>
      </c>
      <c r="C340" s="263">
        <f t="shared" si="9"/>
        <v>6208</v>
      </c>
      <c r="D340" s="37"/>
    </row>
    <row r="341" ht="14.25" customHeight="1">
      <c r="A341" s="268" t="s">
        <v>1089</v>
      </c>
      <c r="B341" s="269">
        <v>5500.0</v>
      </c>
      <c r="C341" s="263">
        <f t="shared" si="9"/>
        <v>5335</v>
      </c>
      <c r="D341" s="37"/>
    </row>
    <row r="342" ht="14.25" customHeight="1">
      <c r="A342" s="268" t="s">
        <v>1092</v>
      </c>
      <c r="B342" s="269">
        <v>5000.0</v>
      </c>
      <c r="C342" s="263">
        <f t="shared" si="9"/>
        <v>4850</v>
      </c>
      <c r="D342" s="37"/>
    </row>
    <row r="343" ht="14.25" customHeight="1">
      <c r="A343" s="268" t="s">
        <v>1094</v>
      </c>
      <c r="B343" s="269">
        <v>4000.0</v>
      </c>
      <c r="C343" s="263">
        <f t="shared" si="9"/>
        <v>3880</v>
      </c>
      <c r="D343" s="37"/>
    </row>
    <row r="344" ht="14.25" customHeight="1">
      <c r="A344" s="266" t="s">
        <v>1096</v>
      </c>
      <c r="B344" s="269">
        <v>5000.0</v>
      </c>
      <c r="C344" s="263">
        <f t="shared" si="9"/>
        <v>4850</v>
      </c>
      <c r="D344" s="37"/>
    </row>
    <row r="345" ht="14.25" customHeight="1">
      <c r="A345" s="266" t="s">
        <v>1098</v>
      </c>
      <c r="B345" s="269">
        <v>5500.0</v>
      </c>
      <c r="C345" s="263">
        <f t="shared" si="9"/>
        <v>5335</v>
      </c>
      <c r="D345" s="37"/>
    </row>
    <row r="346" ht="14.25" customHeight="1">
      <c r="A346" s="266" t="s">
        <v>1099</v>
      </c>
      <c r="B346" s="269">
        <v>6500.0</v>
      </c>
      <c r="C346" s="263">
        <f t="shared" si="9"/>
        <v>6305</v>
      </c>
      <c r="D346" s="37"/>
    </row>
    <row r="347" ht="14.25" customHeight="1">
      <c r="A347" s="293" t="s">
        <v>1101</v>
      </c>
      <c r="B347" s="299">
        <v>15000.0</v>
      </c>
      <c r="C347" s="300">
        <f t="shared" si="9"/>
        <v>14550</v>
      </c>
      <c r="D347" s="37"/>
    </row>
    <row r="348" ht="14.25" customHeight="1">
      <c r="A348" s="268" t="s">
        <v>1103</v>
      </c>
      <c r="B348" s="269">
        <v>6500.0</v>
      </c>
      <c r="C348" s="263">
        <f t="shared" si="9"/>
        <v>6305</v>
      </c>
      <c r="D348" s="37"/>
    </row>
    <row r="349" ht="14.25" customHeight="1">
      <c r="A349" s="266" t="s">
        <v>1104</v>
      </c>
      <c r="B349" s="269">
        <v>7000.0</v>
      </c>
      <c r="C349" s="263">
        <f t="shared" si="9"/>
        <v>6790</v>
      </c>
      <c r="D349" s="37"/>
    </row>
    <row r="350" ht="14.25" customHeight="1">
      <c r="A350" s="270" t="s">
        <v>1107</v>
      </c>
      <c r="B350" s="271">
        <v>12500.0</v>
      </c>
      <c r="C350" s="272">
        <f t="shared" si="9"/>
        <v>12125</v>
      </c>
      <c r="D350" s="37"/>
    </row>
    <row r="351" ht="14.25" customHeight="1">
      <c r="A351" s="268" t="s">
        <v>1108</v>
      </c>
      <c r="B351" s="269">
        <v>8000.0</v>
      </c>
      <c r="C351" s="263">
        <f t="shared" si="9"/>
        <v>7760</v>
      </c>
      <c r="D351" s="37"/>
    </row>
    <row r="352" ht="14.25" customHeight="1">
      <c r="A352" s="270" t="s">
        <v>1110</v>
      </c>
      <c r="B352" s="271">
        <v>12500.0</v>
      </c>
      <c r="C352" s="272">
        <f t="shared" si="9"/>
        <v>12125</v>
      </c>
      <c r="D352" s="37"/>
    </row>
    <row r="353" ht="14.25" customHeight="1">
      <c r="A353" s="266" t="s">
        <v>1111</v>
      </c>
      <c r="B353" s="267">
        <v>5900.0</v>
      </c>
      <c r="C353" s="263">
        <f t="shared" si="9"/>
        <v>5723</v>
      </c>
      <c r="D353" s="37"/>
    </row>
    <row r="354" ht="14.25" customHeight="1">
      <c r="A354" s="268" t="s">
        <v>1113</v>
      </c>
      <c r="B354" s="269">
        <v>4500.0</v>
      </c>
      <c r="C354" s="263">
        <f t="shared" si="9"/>
        <v>4365</v>
      </c>
      <c r="D354" s="37"/>
    </row>
    <row r="355" ht="14.25" customHeight="1">
      <c r="A355" s="266" t="s">
        <v>1116</v>
      </c>
      <c r="B355" s="269">
        <v>5000.0</v>
      </c>
      <c r="C355" s="263">
        <f t="shared" si="9"/>
        <v>4850</v>
      </c>
      <c r="D355" s="37"/>
    </row>
    <row r="356" ht="14.25" customHeight="1">
      <c r="A356" s="266" t="s">
        <v>1117</v>
      </c>
      <c r="B356" s="267">
        <v>4500.0</v>
      </c>
      <c r="C356" s="263">
        <f t="shared" si="9"/>
        <v>4365</v>
      </c>
      <c r="D356" s="37"/>
    </row>
    <row r="357" ht="14.25" customHeight="1">
      <c r="A357" s="266" t="s">
        <v>1119</v>
      </c>
      <c r="B357" s="269">
        <v>6500.0</v>
      </c>
      <c r="C357" s="263">
        <f t="shared" si="9"/>
        <v>6305</v>
      </c>
      <c r="D357" s="37"/>
    </row>
    <row r="358" ht="14.25" customHeight="1">
      <c r="A358" s="266" t="s">
        <v>1121</v>
      </c>
      <c r="B358" s="267">
        <v>7500.0</v>
      </c>
      <c r="C358" s="263">
        <f t="shared" si="9"/>
        <v>7275</v>
      </c>
      <c r="D358" s="37"/>
    </row>
    <row r="359" ht="14.25" customHeight="1">
      <c r="A359" s="266" t="s">
        <v>1122</v>
      </c>
      <c r="B359" s="267">
        <v>6700.0</v>
      </c>
      <c r="C359" s="263">
        <f t="shared" si="9"/>
        <v>6499</v>
      </c>
      <c r="D359" s="37"/>
    </row>
    <row r="360" ht="14.25" customHeight="1">
      <c r="A360" s="268" t="s">
        <v>1125</v>
      </c>
      <c r="B360" s="301">
        <v>9000.0</v>
      </c>
      <c r="C360" s="263">
        <f t="shared" si="9"/>
        <v>8730</v>
      </c>
      <c r="D360" s="37"/>
    </row>
    <row r="361" ht="14.25" customHeight="1">
      <c r="A361" s="270" t="s">
        <v>1127</v>
      </c>
      <c r="B361" s="271">
        <v>12500.0</v>
      </c>
      <c r="C361" s="272">
        <f t="shared" si="9"/>
        <v>12125</v>
      </c>
      <c r="D361" s="37"/>
    </row>
    <row r="362" ht="14.25" customHeight="1">
      <c r="A362" s="302" t="s">
        <v>1129</v>
      </c>
      <c r="B362" s="303">
        <v>6700.0</v>
      </c>
      <c r="C362" s="263">
        <f t="shared" si="9"/>
        <v>6499</v>
      </c>
      <c r="D362" s="37"/>
    </row>
    <row r="363" ht="14.25" customHeight="1">
      <c r="A363" s="302" t="s">
        <v>1131</v>
      </c>
      <c r="B363" s="303">
        <v>7500.0</v>
      </c>
      <c r="C363" s="263">
        <f t="shared" si="9"/>
        <v>7275</v>
      </c>
      <c r="D363" s="37"/>
    </row>
    <row r="364" ht="14.25" customHeight="1">
      <c r="A364" s="302" t="s">
        <v>1133</v>
      </c>
      <c r="B364" s="303">
        <v>7500.0</v>
      </c>
      <c r="C364" s="263">
        <f t="shared" si="9"/>
        <v>7275</v>
      </c>
      <c r="D364" s="37"/>
    </row>
    <row r="365" ht="14.25" customHeight="1">
      <c r="A365" s="268" t="s">
        <v>1135</v>
      </c>
      <c r="B365" s="304">
        <v>6700.0</v>
      </c>
      <c r="C365" s="263">
        <f t="shared" si="9"/>
        <v>6499</v>
      </c>
      <c r="D365" s="37"/>
    </row>
    <row r="366" ht="14.25" customHeight="1">
      <c r="A366" s="268" t="s">
        <v>1137</v>
      </c>
      <c r="B366" s="304">
        <v>8000.0</v>
      </c>
      <c r="C366" s="263">
        <f t="shared" si="9"/>
        <v>7760</v>
      </c>
      <c r="D366" s="37"/>
      <c r="E366" s="34"/>
    </row>
    <row r="367" ht="14.25" customHeight="1">
      <c r="A367" s="268" t="s">
        <v>1139</v>
      </c>
      <c r="B367" s="304">
        <v>15000.0</v>
      </c>
      <c r="C367" s="263">
        <f t="shared" si="9"/>
        <v>14550</v>
      </c>
      <c r="D367" s="37"/>
      <c r="E367" s="34"/>
    </row>
    <row r="368" ht="14.25" customHeight="1">
      <c r="A368" s="264" t="s">
        <v>376</v>
      </c>
      <c r="B368" s="265"/>
      <c r="C368" s="263">
        <f t="shared" si="9"/>
        <v>0</v>
      </c>
      <c r="D368" s="37"/>
    </row>
    <row r="369" ht="14.25" customHeight="1">
      <c r="A369" s="266" t="s">
        <v>1141</v>
      </c>
      <c r="B369" s="267">
        <v>3000.0</v>
      </c>
      <c r="C369" s="263">
        <f t="shared" si="9"/>
        <v>2910</v>
      </c>
      <c r="D369" s="37"/>
    </row>
    <row r="370" ht="14.25" customHeight="1">
      <c r="A370" s="266" t="s">
        <v>1143</v>
      </c>
      <c r="B370" s="267">
        <v>3000.0</v>
      </c>
      <c r="C370" s="263">
        <f t="shared" si="9"/>
        <v>2910</v>
      </c>
      <c r="D370" s="37"/>
    </row>
    <row r="371" ht="14.25" customHeight="1">
      <c r="A371" s="266" t="s">
        <v>1145</v>
      </c>
      <c r="B371" s="267">
        <v>3000.0</v>
      </c>
      <c r="C371" s="263">
        <f t="shared" si="9"/>
        <v>2910</v>
      </c>
      <c r="D371" s="37"/>
    </row>
    <row r="372" ht="14.25" customHeight="1">
      <c r="A372" s="266" t="s">
        <v>1147</v>
      </c>
      <c r="B372" s="267">
        <v>3000.0</v>
      </c>
      <c r="C372" s="263">
        <f t="shared" si="9"/>
        <v>2910</v>
      </c>
      <c r="D372" s="37"/>
    </row>
    <row r="373" ht="14.25" customHeight="1">
      <c r="A373" s="266" t="s">
        <v>1149</v>
      </c>
      <c r="B373" s="267">
        <v>3000.0</v>
      </c>
      <c r="C373" s="263">
        <f t="shared" si="9"/>
        <v>2910</v>
      </c>
      <c r="D373" s="37"/>
    </row>
    <row r="374" ht="14.25" customHeight="1">
      <c r="A374" s="266" t="s">
        <v>1151</v>
      </c>
      <c r="B374" s="267">
        <v>3000.0</v>
      </c>
      <c r="C374" s="263">
        <f t="shared" si="9"/>
        <v>2910</v>
      </c>
      <c r="D374" s="37"/>
    </row>
    <row r="375" ht="14.25" customHeight="1">
      <c r="A375" s="266" t="s">
        <v>1152</v>
      </c>
      <c r="B375" s="267">
        <v>3000.0</v>
      </c>
      <c r="C375" s="263">
        <f t="shared" si="9"/>
        <v>2910</v>
      </c>
      <c r="D375" s="37"/>
    </row>
    <row r="376" ht="14.25" customHeight="1">
      <c r="A376" s="266" t="s">
        <v>1154</v>
      </c>
      <c r="B376" s="267">
        <v>3000.0</v>
      </c>
      <c r="C376" s="263">
        <f t="shared" si="9"/>
        <v>2910</v>
      </c>
      <c r="D376" s="37"/>
    </row>
    <row r="377" ht="14.25" customHeight="1">
      <c r="A377" s="266" t="s">
        <v>1157</v>
      </c>
      <c r="B377" s="267">
        <v>3000.0</v>
      </c>
      <c r="C377" s="263">
        <f t="shared" si="9"/>
        <v>2910</v>
      </c>
      <c r="D377" s="37"/>
    </row>
    <row r="378" ht="14.25" customHeight="1">
      <c r="A378" s="266" t="s">
        <v>1158</v>
      </c>
      <c r="B378" s="267">
        <v>3000.0</v>
      </c>
      <c r="C378" s="263">
        <f t="shared" si="9"/>
        <v>2910</v>
      </c>
      <c r="D378" s="37"/>
    </row>
    <row r="379" ht="14.25" customHeight="1">
      <c r="A379" s="266" t="s">
        <v>1159</v>
      </c>
      <c r="B379" s="267">
        <v>2800.0</v>
      </c>
      <c r="C379" s="263">
        <f t="shared" si="9"/>
        <v>2716</v>
      </c>
      <c r="D379" s="37"/>
    </row>
    <row r="380" ht="14.25" customHeight="1">
      <c r="A380" s="266" t="s">
        <v>1161</v>
      </c>
      <c r="B380" s="267">
        <v>3000.0</v>
      </c>
      <c r="C380" s="263">
        <f t="shared" si="9"/>
        <v>2910</v>
      </c>
      <c r="D380" s="37"/>
    </row>
    <row r="381" ht="14.25" customHeight="1">
      <c r="A381" s="266" t="s">
        <v>1164</v>
      </c>
      <c r="B381" s="267">
        <v>3000.0</v>
      </c>
      <c r="C381" s="263">
        <f t="shared" si="9"/>
        <v>2910</v>
      </c>
      <c r="D381" s="37"/>
    </row>
    <row r="382" ht="14.25" customHeight="1">
      <c r="A382" s="266" t="s">
        <v>1165</v>
      </c>
      <c r="B382" s="267">
        <v>3000.0</v>
      </c>
      <c r="C382" s="263">
        <f t="shared" si="9"/>
        <v>2910</v>
      </c>
      <c r="D382" s="37"/>
    </row>
    <row r="383" ht="14.25" customHeight="1">
      <c r="A383" s="266" t="s">
        <v>1168</v>
      </c>
      <c r="B383" s="267">
        <v>3000.0</v>
      </c>
      <c r="C383" s="263">
        <f t="shared" si="9"/>
        <v>2910</v>
      </c>
      <c r="D383" s="37"/>
    </row>
    <row r="384" ht="14.25" customHeight="1">
      <c r="A384" s="266" t="s">
        <v>1170</v>
      </c>
      <c r="B384" s="267">
        <v>3000.0</v>
      </c>
      <c r="C384" s="263">
        <f t="shared" si="9"/>
        <v>2910</v>
      </c>
      <c r="D384" s="37"/>
    </row>
    <row r="385" ht="14.25" customHeight="1">
      <c r="A385" s="266" t="s">
        <v>1172</v>
      </c>
      <c r="B385" s="267">
        <v>3000.0</v>
      </c>
      <c r="C385" s="263">
        <f t="shared" si="9"/>
        <v>2910</v>
      </c>
      <c r="D385" s="37"/>
    </row>
    <row r="386" ht="14.25" customHeight="1">
      <c r="A386" s="268" t="s">
        <v>1175</v>
      </c>
      <c r="B386" s="269">
        <v>3000.0</v>
      </c>
      <c r="C386" s="263">
        <f t="shared" si="9"/>
        <v>2910</v>
      </c>
      <c r="D386" s="37"/>
    </row>
    <row r="387" ht="14.25" customHeight="1">
      <c r="A387" s="266" t="s">
        <v>1176</v>
      </c>
      <c r="B387" s="267">
        <v>3000.0</v>
      </c>
      <c r="C387" s="263">
        <f t="shared" si="9"/>
        <v>2910</v>
      </c>
      <c r="D387" s="37"/>
    </row>
    <row r="388" ht="14.25" customHeight="1">
      <c r="A388" s="266" t="s">
        <v>1179</v>
      </c>
      <c r="B388" s="267">
        <v>3000.0</v>
      </c>
      <c r="C388" s="263">
        <f t="shared" si="9"/>
        <v>2910</v>
      </c>
      <c r="D388" s="37"/>
    </row>
    <row r="389" ht="14.25" customHeight="1">
      <c r="A389" s="266" t="s">
        <v>1181</v>
      </c>
      <c r="B389" s="267">
        <v>3000.0</v>
      </c>
      <c r="C389" s="263">
        <f t="shared" si="9"/>
        <v>2910</v>
      </c>
      <c r="D389" s="37"/>
    </row>
    <row r="390" ht="14.25" customHeight="1">
      <c r="A390" s="266" t="s">
        <v>1183</v>
      </c>
      <c r="B390" s="267">
        <v>3000.0</v>
      </c>
      <c r="C390" s="263">
        <f t="shared" si="9"/>
        <v>2910</v>
      </c>
      <c r="D390" s="37"/>
    </row>
    <row r="391" ht="14.25" customHeight="1">
      <c r="A391" s="268" t="s">
        <v>1186</v>
      </c>
      <c r="B391" s="306">
        <v>3000.0</v>
      </c>
      <c r="C391" s="263">
        <f t="shared" si="9"/>
        <v>2910</v>
      </c>
      <c r="D391" s="37"/>
    </row>
    <row r="392" ht="14.25" customHeight="1">
      <c r="A392" s="268" t="s">
        <v>1189</v>
      </c>
      <c r="B392" s="306">
        <v>3800.0</v>
      </c>
      <c r="C392" s="263">
        <f t="shared" si="9"/>
        <v>3686</v>
      </c>
      <c r="D392" s="37"/>
    </row>
    <row r="393" ht="14.25" customHeight="1">
      <c r="A393" s="268" t="s">
        <v>1192</v>
      </c>
      <c r="B393" s="306">
        <v>3800.0</v>
      </c>
      <c r="C393" s="263">
        <f t="shared" si="9"/>
        <v>3686</v>
      </c>
      <c r="D393" s="37"/>
    </row>
    <row r="394" ht="14.25" customHeight="1">
      <c r="A394" s="268" t="s">
        <v>1193</v>
      </c>
      <c r="B394" s="306">
        <v>3000.0</v>
      </c>
      <c r="C394" s="263">
        <f t="shared" si="9"/>
        <v>2910</v>
      </c>
      <c r="D394" s="37"/>
    </row>
    <row r="395" ht="14.25" customHeight="1">
      <c r="A395" s="268" t="s">
        <v>1195</v>
      </c>
      <c r="B395" s="306">
        <v>3000.0</v>
      </c>
      <c r="C395" s="263">
        <f t="shared" si="9"/>
        <v>2910</v>
      </c>
      <c r="D395" s="37"/>
    </row>
    <row r="396" ht="14.25" customHeight="1">
      <c r="A396" s="268" t="s">
        <v>1198</v>
      </c>
      <c r="B396" s="306">
        <v>3000.0</v>
      </c>
      <c r="C396" s="263">
        <f t="shared" si="9"/>
        <v>2910</v>
      </c>
      <c r="D396" s="37"/>
    </row>
    <row r="397" ht="14.25" customHeight="1">
      <c r="A397" s="307" t="s">
        <v>1200</v>
      </c>
      <c r="B397" s="308"/>
      <c r="C397" s="263"/>
      <c r="D397" s="37"/>
    </row>
    <row r="398" ht="14.25" customHeight="1">
      <c r="A398" s="309" t="s">
        <v>1202</v>
      </c>
      <c r="B398" s="310">
        <v>9500.0</v>
      </c>
      <c r="C398" s="263">
        <f t="shared" ref="C398:C422" si="10">B398*0.97</f>
        <v>9215</v>
      </c>
      <c r="D398" s="37"/>
    </row>
    <row r="399" ht="14.25" customHeight="1">
      <c r="A399" s="268" t="s">
        <v>1204</v>
      </c>
      <c r="B399" s="306">
        <v>9500.0</v>
      </c>
      <c r="C399" s="263">
        <f t="shared" si="10"/>
        <v>9215</v>
      </c>
      <c r="D399" s="37"/>
    </row>
    <row r="400" ht="14.25" customHeight="1">
      <c r="A400" s="268" t="s">
        <v>1207</v>
      </c>
      <c r="B400" s="306">
        <v>9500.0</v>
      </c>
      <c r="C400" s="263">
        <f t="shared" si="10"/>
        <v>9215</v>
      </c>
      <c r="D400" s="37"/>
    </row>
    <row r="401" ht="14.25" customHeight="1">
      <c r="A401" s="268" t="s">
        <v>1210</v>
      </c>
      <c r="B401" s="306">
        <v>9500.0</v>
      </c>
      <c r="C401" s="263">
        <f t="shared" si="10"/>
        <v>9215</v>
      </c>
      <c r="D401" s="37"/>
    </row>
    <row r="402" ht="14.25" customHeight="1">
      <c r="A402" s="268" t="s">
        <v>1211</v>
      </c>
      <c r="B402" s="306">
        <v>9500.0</v>
      </c>
      <c r="C402" s="263">
        <f t="shared" si="10"/>
        <v>9215</v>
      </c>
      <c r="D402" s="37"/>
    </row>
    <row r="403" ht="14.25" customHeight="1">
      <c r="A403" s="268" t="s">
        <v>1214</v>
      </c>
      <c r="B403" s="310">
        <v>9500.0</v>
      </c>
      <c r="C403" s="263">
        <f t="shared" si="10"/>
        <v>9215</v>
      </c>
      <c r="D403" s="37"/>
    </row>
    <row r="404" ht="14.25" customHeight="1">
      <c r="A404" s="268" t="s">
        <v>1216</v>
      </c>
      <c r="B404" s="306">
        <v>9500.0</v>
      </c>
      <c r="C404" s="263">
        <f t="shared" si="10"/>
        <v>9215</v>
      </c>
      <c r="D404" s="37"/>
    </row>
    <row r="405" ht="14.25" customHeight="1">
      <c r="A405" s="268" t="s">
        <v>1219</v>
      </c>
      <c r="B405" s="306">
        <v>9500.0</v>
      </c>
      <c r="C405" s="263">
        <f t="shared" si="10"/>
        <v>9215</v>
      </c>
      <c r="D405" s="37"/>
    </row>
    <row r="406" ht="14.25" customHeight="1">
      <c r="A406" s="268" t="s">
        <v>1220</v>
      </c>
      <c r="B406" s="306">
        <v>9500.0</v>
      </c>
      <c r="C406" s="263">
        <f t="shared" si="10"/>
        <v>9215</v>
      </c>
      <c r="D406" s="37"/>
    </row>
    <row r="407" ht="14.25" customHeight="1">
      <c r="A407" s="268" t="s">
        <v>1221</v>
      </c>
      <c r="B407" s="306">
        <v>9500.0</v>
      </c>
      <c r="C407" s="263">
        <f t="shared" si="10"/>
        <v>9215</v>
      </c>
      <c r="D407" s="37"/>
    </row>
    <row r="408" ht="14.25" customHeight="1">
      <c r="A408" s="268" t="s">
        <v>1223</v>
      </c>
      <c r="B408" s="310">
        <v>9500.0</v>
      </c>
      <c r="C408" s="263">
        <f t="shared" si="10"/>
        <v>9215</v>
      </c>
      <c r="D408" s="37"/>
    </row>
    <row r="409" ht="14.25" customHeight="1">
      <c r="A409" s="268" t="s">
        <v>1224</v>
      </c>
      <c r="B409" s="306">
        <v>9500.0</v>
      </c>
      <c r="C409" s="263">
        <f t="shared" si="10"/>
        <v>9215</v>
      </c>
      <c r="D409" s="37"/>
    </row>
    <row r="410" ht="14.25" customHeight="1">
      <c r="A410" s="268" t="s">
        <v>1226</v>
      </c>
      <c r="B410" s="306">
        <v>9500.0</v>
      </c>
      <c r="C410" s="263">
        <f t="shared" si="10"/>
        <v>9215</v>
      </c>
      <c r="D410" s="37"/>
    </row>
    <row r="411" ht="14.25" customHeight="1">
      <c r="A411" s="268" t="s">
        <v>1227</v>
      </c>
      <c r="B411" s="306">
        <v>9500.0</v>
      </c>
      <c r="C411" s="263">
        <f t="shared" si="10"/>
        <v>9215</v>
      </c>
      <c r="D411" s="37"/>
    </row>
    <row r="412" ht="14.25" customHeight="1">
      <c r="A412" s="268" t="s">
        <v>1230</v>
      </c>
      <c r="B412" s="306">
        <v>9500.0</v>
      </c>
      <c r="C412" s="263">
        <f t="shared" si="10"/>
        <v>9215</v>
      </c>
      <c r="D412" s="37"/>
    </row>
    <row r="413" ht="14.25" customHeight="1">
      <c r="A413" s="268" t="s">
        <v>1231</v>
      </c>
      <c r="B413" s="310">
        <v>9500.0</v>
      </c>
      <c r="C413" s="263">
        <f t="shared" si="10"/>
        <v>9215</v>
      </c>
      <c r="D413" s="37"/>
    </row>
    <row r="414" ht="14.25" customHeight="1">
      <c r="A414" s="268" t="s">
        <v>1233</v>
      </c>
      <c r="B414" s="306">
        <v>9500.0</v>
      </c>
      <c r="C414" s="263">
        <f t="shared" si="10"/>
        <v>9215</v>
      </c>
      <c r="D414" s="37"/>
    </row>
    <row r="415" ht="14.25" customHeight="1">
      <c r="A415" s="268" t="s">
        <v>1234</v>
      </c>
      <c r="B415" s="306">
        <v>9500.0</v>
      </c>
      <c r="C415" s="263">
        <f t="shared" si="10"/>
        <v>9215</v>
      </c>
      <c r="D415" s="37"/>
    </row>
    <row r="416" ht="14.25" customHeight="1">
      <c r="A416" s="268" t="s">
        <v>1236</v>
      </c>
      <c r="B416" s="306">
        <v>9500.0</v>
      </c>
      <c r="C416" s="263">
        <f t="shared" si="10"/>
        <v>9215</v>
      </c>
      <c r="D416" s="37"/>
    </row>
    <row r="417" ht="27.75" customHeight="1">
      <c r="A417" s="315" t="s">
        <v>1237</v>
      </c>
      <c r="B417" s="316"/>
      <c r="C417" s="263">
        <f t="shared" si="10"/>
        <v>0</v>
      </c>
      <c r="D417" s="37"/>
    </row>
    <row r="418" ht="14.25" customHeight="1">
      <c r="A418" s="317" t="s">
        <v>1240</v>
      </c>
      <c r="B418" s="267">
        <v>4000.0</v>
      </c>
      <c r="C418" s="263">
        <f t="shared" si="10"/>
        <v>3880</v>
      </c>
      <c r="D418" s="37"/>
    </row>
    <row r="419" ht="14.25" customHeight="1">
      <c r="A419" s="317" t="s">
        <v>1243</v>
      </c>
      <c r="B419" s="267">
        <v>4000.0</v>
      </c>
      <c r="C419" s="263">
        <f t="shared" si="10"/>
        <v>3880</v>
      </c>
      <c r="D419" s="37"/>
    </row>
    <row r="420" ht="14.25" customHeight="1">
      <c r="A420" s="318" t="s">
        <v>1244</v>
      </c>
      <c r="B420" s="267">
        <v>4000.0</v>
      </c>
      <c r="C420" s="263">
        <f t="shared" si="10"/>
        <v>3880</v>
      </c>
      <c r="D420" s="37"/>
    </row>
    <row r="421" ht="14.25" customHeight="1">
      <c r="A421" s="318" t="s">
        <v>1246</v>
      </c>
      <c r="B421" s="267">
        <v>4300.0</v>
      </c>
      <c r="C421" s="263">
        <f t="shared" si="10"/>
        <v>4171</v>
      </c>
      <c r="D421" s="37"/>
    </row>
    <row r="422" ht="14.25" customHeight="1">
      <c r="A422" s="318" t="s">
        <v>1248</v>
      </c>
      <c r="B422" s="319">
        <v>4000.0</v>
      </c>
      <c r="C422" s="263">
        <f t="shared" si="10"/>
        <v>3880</v>
      </c>
      <c r="D422" s="37"/>
    </row>
    <row r="423" ht="14.25" customHeight="1">
      <c r="A423" s="264" t="s">
        <v>1249</v>
      </c>
      <c r="B423" s="265"/>
      <c r="C423" s="263"/>
      <c r="D423" s="37"/>
    </row>
    <row r="424" ht="14.25" customHeight="1">
      <c r="A424" s="266" t="s">
        <v>1251</v>
      </c>
      <c r="B424" s="269">
        <v>2000.0</v>
      </c>
      <c r="C424" s="263">
        <f t="shared" ref="C424:C466" si="11">B424*0.97</f>
        <v>1940</v>
      </c>
      <c r="D424" s="37"/>
    </row>
    <row r="425" ht="14.25" customHeight="1">
      <c r="A425" s="266" t="s">
        <v>1253</v>
      </c>
      <c r="B425" s="269">
        <v>2000.0</v>
      </c>
      <c r="C425" s="263">
        <f t="shared" si="11"/>
        <v>1940</v>
      </c>
      <c r="D425" s="37"/>
    </row>
    <row r="426" ht="14.25" customHeight="1">
      <c r="A426" s="266" t="s">
        <v>1255</v>
      </c>
      <c r="B426" s="269">
        <v>2000.0</v>
      </c>
      <c r="C426" s="263">
        <f t="shared" si="11"/>
        <v>1940</v>
      </c>
      <c r="D426" s="37"/>
    </row>
    <row r="427" ht="14.25" customHeight="1">
      <c r="A427" s="266" t="s">
        <v>1257</v>
      </c>
      <c r="B427" s="269">
        <v>2000.0</v>
      </c>
      <c r="C427" s="263">
        <f t="shared" si="11"/>
        <v>1940</v>
      </c>
      <c r="D427" s="37"/>
    </row>
    <row r="428" ht="14.25" customHeight="1">
      <c r="A428" s="266" t="s">
        <v>1258</v>
      </c>
      <c r="B428" s="269">
        <v>2000.0</v>
      </c>
      <c r="C428" s="263">
        <f t="shared" si="11"/>
        <v>1940</v>
      </c>
      <c r="D428" s="37"/>
    </row>
    <row r="429" ht="14.25" customHeight="1">
      <c r="A429" s="268" t="s">
        <v>1260</v>
      </c>
      <c r="B429" s="269">
        <v>2000.0</v>
      </c>
      <c r="C429" s="263">
        <f t="shared" si="11"/>
        <v>1940</v>
      </c>
      <c r="D429" s="37"/>
    </row>
    <row r="430" ht="14.25" customHeight="1">
      <c r="A430" s="266" t="s">
        <v>1261</v>
      </c>
      <c r="B430" s="269">
        <v>2000.0</v>
      </c>
      <c r="C430" s="263">
        <f t="shared" si="11"/>
        <v>1940</v>
      </c>
      <c r="D430" s="37"/>
    </row>
    <row r="431" ht="14.25" customHeight="1">
      <c r="A431" s="268" t="s">
        <v>1263</v>
      </c>
      <c r="B431" s="269">
        <v>2000.0</v>
      </c>
      <c r="C431" s="263">
        <f t="shared" si="11"/>
        <v>1940</v>
      </c>
      <c r="D431" s="37"/>
    </row>
    <row r="432" ht="14.25" customHeight="1">
      <c r="A432" s="268" t="s">
        <v>1264</v>
      </c>
      <c r="B432" s="269">
        <v>2500.0</v>
      </c>
      <c r="C432" s="263">
        <f t="shared" si="11"/>
        <v>2425</v>
      </c>
      <c r="D432" s="37"/>
    </row>
    <row r="433" ht="14.25" customHeight="1">
      <c r="A433" s="268" t="s">
        <v>1266</v>
      </c>
      <c r="B433" s="269">
        <v>2000.0</v>
      </c>
      <c r="C433" s="263">
        <f t="shared" si="11"/>
        <v>1940</v>
      </c>
      <c r="D433" s="37"/>
    </row>
    <row r="434" ht="14.25" customHeight="1">
      <c r="A434" s="268" t="s">
        <v>1267</v>
      </c>
      <c r="B434" s="269">
        <v>2000.0</v>
      </c>
      <c r="C434" s="263">
        <f t="shared" si="11"/>
        <v>1940</v>
      </c>
      <c r="D434" s="37"/>
    </row>
    <row r="435" ht="14.25" customHeight="1">
      <c r="A435" s="268" t="s">
        <v>1269</v>
      </c>
      <c r="B435" s="269">
        <v>2000.0</v>
      </c>
      <c r="C435" s="263">
        <f t="shared" si="11"/>
        <v>1940</v>
      </c>
      <c r="D435" s="37"/>
    </row>
    <row r="436" ht="14.25" customHeight="1">
      <c r="A436" s="268" t="s">
        <v>1272</v>
      </c>
      <c r="B436" s="269">
        <v>2500.0</v>
      </c>
      <c r="C436" s="263">
        <f t="shared" si="11"/>
        <v>2425</v>
      </c>
      <c r="D436" s="37"/>
    </row>
    <row r="437" ht="14.25" customHeight="1">
      <c r="A437" s="266" t="s">
        <v>1275</v>
      </c>
      <c r="B437" s="269">
        <v>2000.0</v>
      </c>
      <c r="C437" s="263">
        <f t="shared" si="11"/>
        <v>1940</v>
      </c>
      <c r="D437" s="37"/>
    </row>
    <row r="438" ht="14.25" customHeight="1">
      <c r="A438" s="266" t="s">
        <v>1277</v>
      </c>
      <c r="B438" s="269">
        <v>2000.0</v>
      </c>
      <c r="C438" s="263">
        <f t="shared" si="11"/>
        <v>1940</v>
      </c>
      <c r="D438" s="37"/>
    </row>
    <row r="439" ht="14.25" customHeight="1">
      <c r="A439" s="268" t="s">
        <v>1278</v>
      </c>
      <c r="B439" s="269">
        <v>2000.0</v>
      </c>
      <c r="C439" s="263">
        <f t="shared" si="11"/>
        <v>1940</v>
      </c>
      <c r="D439" s="37"/>
    </row>
    <row r="440" ht="14.25" customHeight="1">
      <c r="A440" s="268" t="s">
        <v>1280</v>
      </c>
      <c r="B440" s="269">
        <v>2000.0</v>
      </c>
      <c r="C440" s="263">
        <f t="shared" si="11"/>
        <v>1940</v>
      </c>
      <c r="D440" s="37"/>
    </row>
    <row r="441" ht="14.25" customHeight="1">
      <c r="A441" s="266" t="s">
        <v>1281</v>
      </c>
      <c r="B441" s="269">
        <v>2000.0</v>
      </c>
      <c r="C441" s="263">
        <f t="shared" si="11"/>
        <v>1940</v>
      </c>
      <c r="D441" s="37"/>
    </row>
    <row r="442" ht="14.25" customHeight="1">
      <c r="A442" s="266" t="s">
        <v>1283</v>
      </c>
      <c r="B442" s="269">
        <v>2000.0</v>
      </c>
      <c r="C442" s="263">
        <f t="shared" si="11"/>
        <v>1940</v>
      </c>
      <c r="D442" s="37"/>
    </row>
    <row r="443" ht="14.25" customHeight="1">
      <c r="A443" s="268" t="s">
        <v>1284</v>
      </c>
      <c r="B443" s="269">
        <v>2000.0</v>
      </c>
      <c r="C443" s="263">
        <f t="shared" si="11"/>
        <v>1940</v>
      </c>
      <c r="D443" s="37"/>
    </row>
    <row r="444" ht="14.25" customHeight="1">
      <c r="A444" s="268" t="s">
        <v>1286</v>
      </c>
      <c r="B444" s="269">
        <v>2000.0</v>
      </c>
      <c r="C444" s="263">
        <f t="shared" si="11"/>
        <v>1940</v>
      </c>
      <c r="D444" s="37"/>
    </row>
    <row r="445" ht="14.25" customHeight="1">
      <c r="A445" s="268" t="s">
        <v>1288</v>
      </c>
      <c r="B445" s="269">
        <v>2000.0</v>
      </c>
      <c r="C445" s="263">
        <f t="shared" si="11"/>
        <v>1940</v>
      </c>
      <c r="D445" s="37"/>
    </row>
    <row r="446" ht="14.25" customHeight="1">
      <c r="A446" s="268" t="s">
        <v>1289</v>
      </c>
      <c r="B446" s="269">
        <v>2000.0</v>
      </c>
      <c r="C446" s="263">
        <f t="shared" si="11"/>
        <v>1940</v>
      </c>
      <c r="D446" s="37"/>
    </row>
    <row r="447" ht="14.25" customHeight="1">
      <c r="A447" s="268" t="s">
        <v>1292</v>
      </c>
      <c r="B447" s="269">
        <v>2500.0</v>
      </c>
      <c r="C447" s="263">
        <f t="shared" si="11"/>
        <v>2425</v>
      </c>
      <c r="D447" s="37"/>
    </row>
    <row r="448" ht="14.25" customHeight="1">
      <c r="A448" s="268" t="s">
        <v>1295</v>
      </c>
      <c r="B448" s="269">
        <v>2000.0</v>
      </c>
      <c r="C448" s="263">
        <f t="shared" si="11"/>
        <v>1940</v>
      </c>
      <c r="D448" s="37"/>
    </row>
    <row r="449" ht="14.25" customHeight="1">
      <c r="A449" s="268" t="s">
        <v>1296</v>
      </c>
      <c r="B449" s="269">
        <v>2500.0</v>
      </c>
      <c r="C449" s="263">
        <f t="shared" si="11"/>
        <v>2425</v>
      </c>
      <c r="D449" s="37"/>
    </row>
    <row r="450" ht="14.25" customHeight="1">
      <c r="A450" s="268" t="s">
        <v>1298</v>
      </c>
      <c r="B450" s="269">
        <v>2000.0</v>
      </c>
      <c r="C450" s="263">
        <f t="shared" si="11"/>
        <v>1940</v>
      </c>
      <c r="D450" s="37"/>
    </row>
    <row r="451" ht="14.25" customHeight="1">
      <c r="A451" s="268" t="s">
        <v>1299</v>
      </c>
      <c r="B451" s="269">
        <v>2000.0</v>
      </c>
      <c r="C451" s="263">
        <f t="shared" si="11"/>
        <v>1940</v>
      </c>
      <c r="D451" s="37"/>
    </row>
    <row r="452" ht="14.25" customHeight="1">
      <c r="A452" s="266" t="s">
        <v>1301</v>
      </c>
      <c r="B452" s="269">
        <v>2000.0</v>
      </c>
      <c r="C452" s="263">
        <f t="shared" si="11"/>
        <v>1940</v>
      </c>
      <c r="D452" s="37"/>
    </row>
    <row r="453" ht="14.25" customHeight="1">
      <c r="A453" s="268" t="s">
        <v>1305</v>
      </c>
      <c r="B453" s="269">
        <v>2000.0</v>
      </c>
      <c r="C453" s="263">
        <f t="shared" si="11"/>
        <v>1940</v>
      </c>
      <c r="D453" s="37"/>
    </row>
    <row r="454" ht="14.25" customHeight="1">
      <c r="A454" s="266" t="s">
        <v>1307</v>
      </c>
      <c r="B454" s="269">
        <v>2000.0</v>
      </c>
      <c r="C454" s="263">
        <f t="shared" si="11"/>
        <v>1940</v>
      </c>
      <c r="D454" s="37"/>
    </row>
    <row r="455" ht="14.25" customHeight="1">
      <c r="A455" s="268" t="s">
        <v>1309</v>
      </c>
      <c r="B455" s="269">
        <v>2000.0</v>
      </c>
      <c r="C455" s="263">
        <f t="shared" si="11"/>
        <v>1940</v>
      </c>
      <c r="D455" s="37"/>
    </row>
    <row r="456" ht="14.25" customHeight="1">
      <c r="A456" s="268" t="s">
        <v>1310</v>
      </c>
      <c r="B456" s="269">
        <v>2000.0</v>
      </c>
      <c r="C456" s="263">
        <f t="shared" si="11"/>
        <v>1940</v>
      </c>
      <c r="D456" s="37"/>
    </row>
    <row r="457" ht="14.25" customHeight="1">
      <c r="A457" s="268" t="s">
        <v>1313</v>
      </c>
      <c r="B457" s="269">
        <v>2000.0</v>
      </c>
      <c r="C457" s="263">
        <f t="shared" si="11"/>
        <v>1940</v>
      </c>
      <c r="D457" s="37"/>
    </row>
    <row r="458" ht="14.25" customHeight="1">
      <c r="A458" s="266" t="s">
        <v>1316</v>
      </c>
      <c r="B458" s="269">
        <v>2000.0</v>
      </c>
      <c r="C458" s="263">
        <f t="shared" si="11"/>
        <v>1940</v>
      </c>
      <c r="D458" s="37"/>
    </row>
    <row r="459" ht="14.25" customHeight="1">
      <c r="A459" s="268" t="s">
        <v>1317</v>
      </c>
      <c r="B459" s="269">
        <v>2000.0</v>
      </c>
      <c r="C459" s="263">
        <f t="shared" si="11"/>
        <v>1940</v>
      </c>
      <c r="D459" s="37"/>
    </row>
    <row r="460" ht="14.25" customHeight="1">
      <c r="A460" s="268" t="s">
        <v>1320</v>
      </c>
      <c r="B460" s="269">
        <v>2000.0</v>
      </c>
      <c r="C460" s="263">
        <f t="shared" si="11"/>
        <v>1940</v>
      </c>
      <c r="D460" s="37"/>
    </row>
    <row r="461" ht="14.25" customHeight="1">
      <c r="A461" s="268" t="s">
        <v>1323</v>
      </c>
      <c r="B461" s="306">
        <v>2500.0</v>
      </c>
      <c r="C461" s="263">
        <f t="shared" si="11"/>
        <v>2425</v>
      </c>
      <c r="D461" s="37"/>
    </row>
    <row r="462" ht="14.25" customHeight="1">
      <c r="A462" s="268" t="s">
        <v>1324</v>
      </c>
      <c r="B462" s="306">
        <v>2500.0</v>
      </c>
      <c r="C462" s="263">
        <f t="shared" si="11"/>
        <v>2425</v>
      </c>
      <c r="D462" s="37"/>
    </row>
    <row r="463" ht="14.25" customHeight="1">
      <c r="A463" s="268" t="s">
        <v>1326</v>
      </c>
      <c r="B463" s="306">
        <v>2500.0</v>
      </c>
      <c r="C463" s="263">
        <f t="shared" si="11"/>
        <v>2425</v>
      </c>
      <c r="D463" s="37"/>
    </row>
    <row r="464" ht="14.25" customHeight="1">
      <c r="A464" s="268" t="s">
        <v>1328</v>
      </c>
      <c r="B464" s="306">
        <v>2500.0</v>
      </c>
      <c r="C464" s="263">
        <f t="shared" si="11"/>
        <v>2425</v>
      </c>
      <c r="D464" s="37"/>
    </row>
    <row r="465" ht="14.25" customHeight="1">
      <c r="A465" s="268" t="s">
        <v>1330</v>
      </c>
      <c r="B465" s="306">
        <v>2500.0</v>
      </c>
      <c r="C465" s="263">
        <f t="shared" si="11"/>
        <v>2425</v>
      </c>
      <c r="D465" s="37"/>
    </row>
    <row r="466" ht="14.25" customHeight="1">
      <c r="A466" s="268" t="s">
        <v>1333</v>
      </c>
      <c r="B466" s="306">
        <v>2500.0</v>
      </c>
      <c r="C466" s="263">
        <f t="shared" si="11"/>
        <v>2425</v>
      </c>
      <c r="D466" s="37"/>
    </row>
    <row r="467" ht="23.25" customHeight="1">
      <c r="A467" s="315" t="s">
        <v>668</v>
      </c>
      <c r="B467" s="16"/>
      <c r="C467" s="17"/>
      <c r="D467" s="37"/>
    </row>
    <row r="468" ht="19.5" customHeight="1">
      <c r="A468" s="268" t="s">
        <v>1336</v>
      </c>
      <c r="B468" s="306">
        <v>2000.0</v>
      </c>
      <c r="C468" s="263">
        <f t="shared" ref="C468:C486" si="12">B468*0.95</f>
        <v>1900</v>
      </c>
      <c r="D468" s="37"/>
    </row>
    <row r="469" ht="19.5" customHeight="1">
      <c r="A469" s="268" t="s">
        <v>1339</v>
      </c>
      <c r="B469" s="306">
        <v>2000.0</v>
      </c>
      <c r="C469" s="263">
        <f t="shared" si="12"/>
        <v>1900</v>
      </c>
      <c r="D469" s="37"/>
    </row>
    <row r="470" ht="19.5" customHeight="1">
      <c r="A470" s="268" t="s">
        <v>1342</v>
      </c>
      <c r="B470" s="306">
        <v>2000.0</v>
      </c>
      <c r="C470" s="263">
        <f t="shared" si="12"/>
        <v>1900</v>
      </c>
      <c r="D470" s="37"/>
    </row>
    <row r="471" ht="19.5" customHeight="1">
      <c r="A471" s="268" t="s">
        <v>1343</v>
      </c>
      <c r="B471" s="306">
        <v>2000.0</v>
      </c>
      <c r="C471" s="263">
        <f t="shared" si="12"/>
        <v>1900</v>
      </c>
      <c r="D471" s="37"/>
    </row>
    <row r="472" ht="19.5" customHeight="1">
      <c r="A472" s="268" t="s">
        <v>1345</v>
      </c>
      <c r="B472" s="306">
        <v>2000.0</v>
      </c>
      <c r="C472" s="263">
        <f t="shared" si="12"/>
        <v>1900</v>
      </c>
      <c r="D472" s="37"/>
    </row>
    <row r="473" ht="19.5" customHeight="1">
      <c r="A473" s="268" t="s">
        <v>1346</v>
      </c>
      <c r="B473" s="306">
        <v>2000.0</v>
      </c>
      <c r="C473" s="263">
        <f t="shared" si="12"/>
        <v>1900</v>
      </c>
      <c r="D473" s="37"/>
    </row>
    <row r="474" ht="19.5" customHeight="1">
      <c r="A474" s="268" t="s">
        <v>1349</v>
      </c>
      <c r="B474" s="306">
        <v>2000.0</v>
      </c>
      <c r="C474" s="263">
        <f t="shared" si="12"/>
        <v>1900</v>
      </c>
      <c r="D474" s="37"/>
    </row>
    <row r="475" ht="19.5" customHeight="1">
      <c r="A475" s="268" t="s">
        <v>1350</v>
      </c>
      <c r="B475" s="306">
        <v>2000.0</v>
      </c>
      <c r="C475" s="263">
        <f t="shared" si="12"/>
        <v>1900</v>
      </c>
      <c r="D475" s="37"/>
    </row>
    <row r="476" ht="19.5" customHeight="1">
      <c r="A476" s="268" t="s">
        <v>1351</v>
      </c>
      <c r="B476" s="306">
        <v>2000.0</v>
      </c>
      <c r="C476" s="263">
        <f t="shared" si="12"/>
        <v>1900</v>
      </c>
      <c r="D476" s="37"/>
    </row>
    <row r="477" ht="19.5" customHeight="1">
      <c r="A477" s="268" t="s">
        <v>1353</v>
      </c>
      <c r="B477" s="306">
        <v>2000.0</v>
      </c>
      <c r="C477" s="263">
        <f t="shared" si="12"/>
        <v>1900</v>
      </c>
      <c r="D477" s="37"/>
    </row>
    <row r="478" ht="19.5" customHeight="1">
      <c r="A478" s="268" t="s">
        <v>1354</v>
      </c>
      <c r="B478" s="306">
        <v>2000.0</v>
      </c>
      <c r="C478" s="263">
        <f t="shared" si="12"/>
        <v>1900</v>
      </c>
      <c r="D478" s="37"/>
    </row>
    <row r="479" ht="19.5" customHeight="1">
      <c r="A479" s="268" t="s">
        <v>1357</v>
      </c>
      <c r="B479" s="306">
        <v>2000.0</v>
      </c>
      <c r="C479" s="263">
        <f t="shared" si="12"/>
        <v>1900</v>
      </c>
      <c r="D479" s="37"/>
    </row>
    <row r="480" ht="19.5" customHeight="1">
      <c r="A480" s="268" t="s">
        <v>1359</v>
      </c>
      <c r="B480" s="306">
        <v>2000.0</v>
      </c>
      <c r="C480" s="263">
        <f t="shared" si="12"/>
        <v>1900</v>
      </c>
      <c r="D480" s="37"/>
    </row>
    <row r="481" ht="19.5" customHeight="1">
      <c r="A481" s="268" t="s">
        <v>1361</v>
      </c>
      <c r="B481" s="306">
        <v>2000.0</v>
      </c>
      <c r="C481" s="263">
        <f t="shared" si="12"/>
        <v>1900</v>
      </c>
      <c r="D481" s="37"/>
    </row>
    <row r="482" ht="19.5" customHeight="1">
      <c r="A482" s="268" t="s">
        <v>1363</v>
      </c>
      <c r="B482" s="306">
        <v>2000.0</v>
      </c>
      <c r="C482" s="263">
        <f t="shared" si="12"/>
        <v>1900</v>
      </c>
      <c r="D482" s="37"/>
    </row>
    <row r="483" ht="19.5" customHeight="1">
      <c r="A483" s="268" t="s">
        <v>1365</v>
      </c>
      <c r="B483" s="306">
        <v>2000.0</v>
      </c>
      <c r="C483" s="263">
        <f t="shared" si="12"/>
        <v>1900</v>
      </c>
      <c r="D483" s="37"/>
    </row>
    <row r="484" ht="19.5" customHeight="1">
      <c r="A484" s="268" t="s">
        <v>1366</v>
      </c>
      <c r="B484" s="306">
        <v>2000.0</v>
      </c>
      <c r="C484" s="263">
        <f t="shared" si="12"/>
        <v>1900</v>
      </c>
      <c r="D484" s="37"/>
    </row>
    <row r="485" ht="19.5" customHeight="1">
      <c r="A485" s="268" t="s">
        <v>1369</v>
      </c>
      <c r="B485" s="306">
        <v>2000.0</v>
      </c>
      <c r="C485" s="263">
        <f t="shared" si="12"/>
        <v>1900</v>
      </c>
      <c r="D485" s="37"/>
    </row>
    <row r="486" ht="19.5" customHeight="1">
      <c r="A486" s="268" t="s">
        <v>1372</v>
      </c>
      <c r="B486" s="306">
        <v>2000.0</v>
      </c>
      <c r="C486" s="263">
        <f t="shared" si="12"/>
        <v>1900</v>
      </c>
      <c r="D486" s="37"/>
    </row>
    <row r="487" ht="19.5" customHeight="1">
      <c r="A487" s="268" t="s">
        <v>1374</v>
      </c>
      <c r="B487" s="267">
        <v>2600.0</v>
      </c>
      <c r="C487" s="263">
        <v>2470.0</v>
      </c>
      <c r="D487" s="37"/>
    </row>
    <row r="488" ht="19.5" customHeight="1">
      <c r="A488" s="268" t="s">
        <v>1376</v>
      </c>
      <c r="B488" s="306">
        <v>2000.0</v>
      </c>
      <c r="C488" s="263">
        <f t="shared" ref="C488:C513" si="13">B488*0.95</f>
        <v>1900</v>
      </c>
      <c r="D488" s="37"/>
    </row>
    <row r="489" ht="19.5" customHeight="1">
      <c r="A489" s="268" t="s">
        <v>1378</v>
      </c>
      <c r="B489" s="306">
        <v>2000.0</v>
      </c>
      <c r="C489" s="263">
        <f t="shared" si="13"/>
        <v>1900</v>
      </c>
      <c r="D489" s="37"/>
    </row>
    <row r="490" ht="19.5" customHeight="1">
      <c r="A490" s="268" t="s">
        <v>1379</v>
      </c>
      <c r="B490" s="306">
        <v>2000.0</v>
      </c>
      <c r="C490" s="263">
        <f t="shared" si="13"/>
        <v>1900</v>
      </c>
      <c r="D490" s="37"/>
    </row>
    <row r="491" ht="19.5" customHeight="1">
      <c r="A491" s="268" t="s">
        <v>1382</v>
      </c>
      <c r="B491" s="306">
        <v>2000.0</v>
      </c>
      <c r="C491" s="263">
        <f t="shared" si="13"/>
        <v>1900</v>
      </c>
      <c r="D491" s="37"/>
    </row>
    <row r="492" ht="19.5" customHeight="1">
      <c r="A492" s="268" t="s">
        <v>1384</v>
      </c>
      <c r="B492" s="306">
        <v>2000.0</v>
      </c>
      <c r="C492" s="263">
        <f t="shared" si="13"/>
        <v>1900</v>
      </c>
      <c r="D492" s="37"/>
    </row>
    <row r="493" ht="19.5" customHeight="1">
      <c r="A493" s="268" t="s">
        <v>1386</v>
      </c>
      <c r="B493" s="306">
        <v>2000.0</v>
      </c>
      <c r="C493" s="263">
        <f t="shared" si="13"/>
        <v>1900</v>
      </c>
      <c r="D493" s="37"/>
    </row>
    <row r="494" ht="19.5" customHeight="1">
      <c r="A494" s="268" t="s">
        <v>1388</v>
      </c>
      <c r="B494" s="306">
        <v>2000.0</v>
      </c>
      <c r="C494" s="263">
        <f t="shared" si="13"/>
        <v>1900</v>
      </c>
      <c r="D494" s="37"/>
    </row>
    <row r="495" ht="19.5" customHeight="1">
      <c r="A495" s="268" t="s">
        <v>1391</v>
      </c>
      <c r="B495" s="306">
        <v>2000.0</v>
      </c>
      <c r="C495" s="263">
        <f t="shared" si="13"/>
        <v>1900</v>
      </c>
      <c r="D495" s="37"/>
    </row>
    <row r="496" ht="19.5" customHeight="1">
      <c r="A496" s="268" t="s">
        <v>1393</v>
      </c>
      <c r="B496" s="306">
        <v>2000.0</v>
      </c>
      <c r="C496" s="263">
        <f t="shared" si="13"/>
        <v>1900</v>
      </c>
      <c r="D496" s="37"/>
    </row>
    <row r="497" ht="19.5" customHeight="1">
      <c r="A497" s="268" t="s">
        <v>1395</v>
      </c>
      <c r="B497" s="306">
        <v>2000.0</v>
      </c>
      <c r="C497" s="263">
        <f t="shared" si="13"/>
        <v>1900</v>
      </c>
      <c r="D497" s="37"/>
    </row>
    <row r="498" ht="19.5" customHeight="1">
      <c r="A498" s="268" t="s">
        <v>1397</v>
      </c>
      <c r="B498" s="306">
        <v>2500.0</v>
      </c>
      <c r="C498" s="263">
        <f t="shared" si="13"/>
        <v>2375</v>
      </c>
      <c r="D498" s="37"/>
    </row>
    <row r="499" ht="19.5" customHeight="1">
      <c r="A499" s="268" t="s">
        <v>1399</v>
      </c>
      <c r="B499" s="306">
        <v>2500.0</v>
      </c>
      <c r="C499" s="263">
        <f t="shared" si="13"/>
        <v>2375</v>
      </c>
      <c r="D499" s="37"/>
    </row>
    <row r="500" ht="19.5" customHeight="1">
      <c r="A500" s="268" t="s">
        <v>1400</v>
      </c>
      <c r="B500" s="306">
        <v>2500.0</v>
      </c>
      <c r="C500" s="263">
        <f t="shared" si="13"/>
        <v>2375</v>
      </c>
      <c r="D500" s="37"/>
    </row>
    <row r="501" ht="19.5" customHeight="1">
      <c r="A501" s="268" t="s">
        <v>1402</v>
      </c>
      <c r="B501" s="306">
        <v>2500.0</v>
      </c>
      <c r="C501" s="263">
        <f t="shared" si="13"/>
        <v>2375</v>
      </c>
      <c r="D501" s="37"/>
    </row>
    <row r="502" ht="19.5" customHeight="1">
      <c r="A502" s="268" t="s">
        <v>1403</v>
      </c>
      <c r="B502" s="306">
        <v>2000.0</v>
      </c>
      <c r="C502" s="263">
        <f t="shared" si="13"/>
        <v>1900</v>
      </c>
      <c r="D502" s="37"/>
    </row>
    <row r="503" ht="19.5" customHeight="1">
      <c r="A503" s="268" t="s">
        <v>1404</v>
      </c>
      <c r="B503" s="306">
        <v>2000.0</v>
      </c>
      <c r="C503" s="263">
        <f t="shared" si="13"/>
        <v>1900</v>
      </c>
      <c r="D503" s="37"/>
    </row>
    <row r="504" ht="19.5" customHeight="1">
      <c r="A504" s="321" t="s">
        <v>1405</v>
      </c>
      <c r="B504" s="306">
        <v>2000.0</v>
      </c>
      <c r="C504" s="263">
        <f t="shared" si="13"/>
        <v>1900</v>
      </c>
      <c r="D504" s="37"/>
    </row>
    <row r="505" ht="19.5" customHeight="1">
      <c r="A505" s="321" t="s">
        <v>1408</v>
      </c>
      <c r="B505" s="306">
        <v>2000.0</v>
      </c>
      <c r="C505" s="263">
        <f t="shared" si="13"/>
        <v>1900</v>
      </c>
      <c r="D505" s="37"/>
    </row>
    <row r="506" ht="19.5" customHeight="1">
      <c r="A506" s="268" t="s">
        <v>1409</v>
      </c>
      <c r="B506" s="306">
        <v>2000.0</v>
      </c>
      <c r="C506" s="263">
        <f t="shared" si="13"/>
        <v>1900</v>
      </c>
      <c r="D506" s="37"/>
    </row>
    <row r="507" ht="19.5" customHeight="1">
      <c r="A507" s="268" t="s">
        <v>1411</v>
      </c>
      <c r="B507" s="306">
        <v>2000.0</v>
      </c>
      <c r="C507" s="263">
        <f t="shared" si="13"/>
        <v>1900</v>
      </c>
      <c r="D507" s="37"/>
    </row>
    <row r="508" ht="18.0" customHeight="1">
      <c r="A508" s="268" t="s">
        <v>1412</v>
      </c>
      <c r="B508" s="306">
        <v>2000.0</v>
      </c>
      <c r="C508" s="263">
        <f t="shared" si="13"/>
        <v>1900</v>
      </c>
      <c r="D508" s="37"/>
    </row>
    <row r="509" ht="18.75" customHeight="1">
      <c r="A509" s="268" t="s">
        <v>1413</v>
      </c>
      <c r="B509" s="306">
        <v>2000.0</v>
      </c>
      <c r="C509" s="263">
        <f t="shared" si="13"/>
        <v>1900</v>
      </c>
      <c r="D509" s="37"/>
    </row>
    <row r="510" ht="18.75" customHeight="1">
      <c r="A510" s="268" t="s">
        <v>1414</v>
      </c>
      <c r="B510" s="306">
        <v>2000.0</v>
      </c>
      <c r="C510" s="263">
        <f t="shared" si="13"/>
        <v>1900</v>
      </c>
      <c r="D510" s="37"/>
    </row>
    <row r="511" ht="18.75" customHeight="1">
      <c r="A511" s="268" t="s">
        <v>1417</v>
      </c>
      <c r="B511" s="306">
        <v>2000.0</v>
      </c>
      <c r="C511" s="263">
        <f t="shared" si="13"/>
        <v>1900</v>
      </c>
      <c r="D511" s="37"/>
    </row>
    <row r="512" ht="18.75" customHeight="1">
      <c r="A512" s="268" t="s">
        <v>1418</v>
      </c>
      <c r="B512" s="306">
        <v>2000.0</v>
      </c>
      <c r="C512" s="263">
        <f t="shared" si="13"/>
        <v>1900</v>
      </c>
      <c r="D512" s="37"/>
    </row>
    <row r="513" ht="18.75" customHeight="1">
      <c r="A513" s="268" t="s">
        <v>1421</v>
      </c>
      <c r="B513" s="306">
        <v>2000.0</v>
      </c>
      <c r="C513" s="263">
        <f t="shared" si="13"/>
        <v>1900</v>
      </c>
      <c r="D513" s="37"/>
    </row>
    <row r="514" ht="27.75" customHeight="1">
      <c r="A514" s="307" t="s">
        <v>937</v>
      </c>
      <c r="B514" s="16"/>
      <c r="C514" s="17"/>
      <c r="D514" s="37"/>
    </row>
    <row r="515" ht="21.75" customHeight="1">
      <c r="A515" s="268" t="s">
        <v>1424</v>
      </c>
      <c r="B515" s="269">
        <v>1800.0</v>
      </c>
      <c r="C515" s="263">
        <f>B515*0.95</f>
        <v>1710</v>
      </c>
      <c r="D515" s="37"/>
    </row>
    <row r="516" ht="21.75" customHeight="1">
      <c r="A516" s="307" t="s">
        <v>1428</v>
      </c>
      <c r="B516" s="16"/>
      <c r="C516" s="17"/>
      <c r="D516" s="37"/>
    </row>
    <row r="517" ht="21.75" customHeight="1">
      <c r="A517" s="268" t="s">
        <v>1430</v>
      </c>
      <c r="B517" s="306">
        <v>4000.0</v>
      </c>
      <c r="C517" s="263">
        <f t="shared" ref="C517:C522" si="14">B517*0.95</f>
        <v>3800</v>
      </c>
      <c r="D517" s="37"/>
    </row>
    <row r="518" ht="21.75" customHeight="1">
      <c r="A518" s="268" t="s">
        <v>1433</v>
      </c>
      <c r="B518" s="306">
        <v>3500.0</v>
      </c>
      <c r="C518" s="263">
        <f t="shared" si="14"/>
        <v>3325</v>
      </c>
      <c r="D518" s="37"/>
    </row>
    <row r="519" ht="21.75" customHeight="1">
      <c r="A519" s="268" t="s">
        <v>1436</v>
      </c>
      <c r="B519" s="306">
        <v>4000.0</v>
      </c>
      <c r="C519" s="263">
        <f t="shared" si="14"/>
        <v>3800</v>
      </c>
      <c r="D519" s="37"/>
    </row>
    <row r="520" ht="21.75" customHeight="1">
      <c r="A520" s="268" t="s">
        <v>1437</v>
      </c>
      <c r="B520" s="306">
        <v>4000.0</v>
      </c>
      <c r="C520" s="263">
        <f t="shared" si="14"/>
        <v>3800</v>
      </c>
      <c r="D520" s="37"/>
    </row>
    <row r="521" ht="21.75" customHeight="1">
      <c r="A521" s="268" t="s">
        <v>1439</v>
      </c>
      <c r="B521" s="306">
        <v>4200.0</v>
      </c>
      <c r="C521" s="263">
        <f t="shared" si="14"/>
        <v>3990</v>
      </c>
      <c r="D521" s="37"/>
    </row>
    <row r="522" ht="21.75" customHeight="1">
      <c r="A522" s="268" t="s">
        <v>1441</v>
      </c>
      <c r="B522" s="306">
        <v>4200.0</v>
      </c>
      <c r="C522" s="263">
        <f t="shared" si="14"/>
        <v>3990</v>
      </c>
      <c r="D522" s="37"/>
    </row>
    <row r="523" ht="14.25" customHeight="1">
      <c r="A523" s="322" t="s">
        <v>429</v>
      </c>
      <c r="B523" s="16"/>
      <c r="C523" s="17"/>
      <c r="D523" s="37"/>
    </row>
    <row r="524" ht="14.25" customHeight="1">
      <c r="A524" s="323" t="s">
        <v>8</v>
      </c>
      <c r="B524" s="16"/>
      <c r="C524" s="17"/>
      <c r="D524" s="37"/>
    </row>
    <row r="525" ht="14.25" customHeight="1">
      <c r="A525" s="324" t="s">
        <v>1448</v>
      </c>
      <c r="B525" s="325">
        <v>4000.0</v>
      </c>
      <c r="C525" s="326">
        <f t="shared" ref="C525:C532" si="15">B525*0.95</f>
        <v>3800</v>
      </c>
      <c r="D525" s="37"/>
    </row>
    <row r="526" ht="14.25" customHeight="1">
      <c r="A526" s="324" t="s">
        <v>1452</v>
      </c>
      <c r="B526" s="327">
        <v>4400.0</v>
      </c>
      <c r="C526" s="326">
        <f t="shared" si="15"/>
        <v>4180</v>
      </c>
      <c r="D526" s="37"/>
    </row>
    <row r="527" ht="14.25" customHeight="1">
      <c r="A527" s="324" t="s">
        <v>1455</v>
      </c>
      <c r="B527" s="327">
        <v>4400.0</v>
      </c>
      <c r="C527" s="326">
        <f t="shared" si="15"/>
        <v>4180</v>
      </c>
      <c r="D527" s="37"/>
    </row>
    <row r="528" ht="14.25" customHeight="1">
      <c r="A528" s="324" t="s">
        <v>1456</v>
      </c>
      <c r="B528" s="327">
        <v>4500.0</v>
      </c>
      <c r="C528" s="326">
        <f t="shared" si="15"/>
        <v>4275</v>
      </c>
      <c r="D528" s="37"/>
    </row>
    <row r="529" ht="14.25" customHeight="1">
      <c r="A529" s="324" t="s">
        <v>1458</v>
      </c>
      <c r="B529" s="327">
        <v>4400.0</v>
      </c>
      <c r="C529" s="326">
        <f t="shared" si="15"/>
        <v>4180</v>
      </c>
      <c r="D529" s="37"/>
    </row>
    <row r="530" ht="14.25" customHeight="1">
      <c r="A530" s="328" t="s">
        <v>1460</v>
      </c>
      <c r="B530" s="325">
        <v>5000.0</v>
      </c>
      <c r="C530" s="326">
        <f t="shared" si="15"/>
        <v>4750</v>
      </c>
      <c r="D530" s="37"/>
    </row>
    <row r="531" ht="14.25" customHeight="1">
      <c r="A531" s="324" t="s">
        <v>1463</v>
      </c>
      <c r="B531" s="329">
        <v>5000.0</v>
      </c>
      <c r="C531" s="326">
        <f t="shared" si="15"/>
        <v>4750</v>
      </c>
      <c r="D531" s="37"/>
    </row>
    <row r="532" ht="14.25" customHeight="1">
      <c r="A532" s="324" t="s">
        <v>1466</v>
      </c>
      <c r="B532" s="329">
        <v>4400.0</v>
      </c>
      <c r="C532" s="326">
        <f t="shared" si="15"/>
        <v>4180</v>
      </c>
      <c r="D532" s="37"/>
    </row>
    <row r="533" ht="14.25" customHeight="1">
      <c r="A533" s="323" t="s">
        <v>1469</v>
      </c>
      <c r="B533" s="16"/>
      <c r="C533" s="17"/>
      <c r="D533" s="37"/>
    </row>
    <row r="534" ht="14.25" customHeight="1">
      <c r="A534" s="328" t="s">
        <v>1470</v>
      </c>
      <c r="B534" s="325">
        <v>3100.0</v>
      </c>
      <c r="C534" s="326">
        <f t="shared" ref="C534:C536" si="16">B534*0.95</f>
        <v>2945</v>
      </c>
      <c r="D534" s="37"/>
    </row>
    <row r="535" ht="14.25" customHeight="1">
      <c r="A535" s="328" t="s">
        <v>1472</v>
      </c>
      <c r="B535" s="325">
        <v>3100.0</v>
      </c>
      <c r="C535" s="326">
        <f t="shared" si="16"/>
        <v>2945</v>
      </c>
      <c r="D535" s="37"/>
    </row>
    <row r="536" ht="14.25" customHeight="1">
      <c r="A536" s="328" t="s">
        <v>1475</v>
      </c>
      <c r="B536" s="325">
        <v>4600.0</v>
      </c>
      <c r="C536" s="326">
        <f t="shared" si="16"/>
        <v>4370</v>
      </c>
      <c r="D536" s="37"/>
    </row>
    <row r="537" ht="14.25" customHeight="1">
      <c r="A537" s="330" t="s">
        <v>668</v>
      </c>
      <c r="B537" s="16"/>
      <c r="C537" s="17"/>
      <c r="D537" s="37"/>
    </row>
    <row r="538" ht="14.25" customHeight="1">
      <c r="A538" s="324" t="s">
        <v>1477</v>
      </c>
      <c r="B538" s="329">
        <v>2000.0</v>
      </c>
      <c r="C538" s="326">
        <f t="shared" ref="C538:C550" si="17">B538*0.95</f>
        <v>1900</v>
      </c>
      <c r="D538" s="37"/>
    </row>
    <row r="539" ht="14.25" customHeight="1">
      <c r="A539" s="324" t="s">
        <v>1479</v>
      </c>
      <c r="B539" s="329">
        <v>2000.0</v>
      </c>
      <c r="C539" s="326">
        <f t="shared" si="17"/>
        <v>1900</v>
      </c>
      <c r="D539" s="37"/>
    </row>
    <row r="540" ht="14.25" customHeight="1">
      <c r="A540" s="324" t="s">
        <v>1481</v>
      </c>
      <c r="B540" s="329">
        <v>2000.0</v>
      </c>
      <c r="C540" s="326">
        <f t="shared" si="17"/>
        <v>1900</v>
      </c>
      <c r="D540" s="37"/>
    </row>
    <row r="541" ht="14.25" customHeight="1">
      <c r="A541" s="324" t="s">
        <v>1483</v>
      </c>
      <c r="B541" s="329">
        <v>2000.0</v>
      </c>
      <c r="C541" s="326">
        <f t="shared" si="17"/>
        <v>1900</v>
      </c>
      <c r="D541" s="37"/>
    </row>
    <row r="542" ht="14.25" customHeight="1">
      <c r="A542" s="324" t="s">
        <v>1485</v>
      </c>
      <c r="B542" s="329">
        <v>2000.0</v>
      </c>
      <c r="C542" s="326">
        <f t="shared" si="17"/>
        <v>1900</v>
      </c>
      <c r="D542" s="37"/>
    </row>
    <row r="543" ht="14.25" customHeight="1">
      <c r="A543" s="324" t="s">
        <v>1486</v>
      </c>
      <c r="B543" s="329">
        <v>2000.0</v>
      </c>
      <c r="C543" s="326">
        <f t="shared" si="17"/>
        <v>1900</v>
      </c>
      <c r="D543" s="37"/>
    </row>
    <row r="544" ht="14.25" customHeight="1">
      <c r="A544" s="324" t="s">
        <v>1488</v>
      </c>
      <c r="B544" s="329">
        <v>2000.0</v>
      </c>
      <c r="C544" s="326">
        <f t="shared" si="17"/>
        <v>1900</v>
      </c>
      <c r="D544" s="37"/>
    </row>
    <row r="545" ht="14.25" customHeight="1">
      <c r="A545" s="324" t="s">
        <v>1489</v>
      </c>
      <c r="B545" s="329">
        <v>2000.0</v>
      </c>
      <c r="C545" s="326">
        <f t="shared" si="17"/>
        <v>1900</v>
      </c>
      <c r="D545" s="37"/>
    </row>
    <row r="546" ht="14.25" customHeight="1">
      <c r="A546" s="324" t="s">
        <v>1491</v>
      </c>
      <c r="B546" s="329">
        <v>2000.0</v>
      </c>
      <c r="C546" s="326">
        <f t="shared" si="17"/>
        <v>1900</v>
      </c>
      <c r="D546" s="37"/>
    </row>
    <row r="547" ht="14.25" customHeight="1">
      <c r="A547" s="324" t="s">
        <v>1493</v>
      </c>
      <c r="B547" s="329">
        <v>2000.0</v>
      </c>
      <c r="C547" s="326">
        <f t="shared" si="17"/>
        <v>1900</v>
      </c>
      <c r="D547" s="37"/>
    </row>
    <row r="548" ht="14.25" customHeight="1">
      <c r="A548" s="324" t="s">
        <v>1494</v>
      </c>
      <c r="B548" s="329">
        <v>2000.0</v>
      </c>
      <c r="C548" s="326">
        <f t="shared" si="17"/>
        <v>1900</v>
      </c>
      <c r="D548" s="37"/>
    </row>
    <row r="549" ht="14.25" customHeight="1">
      <c r="A549" s="324" t="s">
        <v>1497</v>
      </c>
      <c r="B549" s="329">
        <v>2000.0</v>
      </c>
      <c r="C549" s="326">
        <f t="shared" si="17"/>
        <v>1900</v>
      </c>
      <c r="D549" s="37"/>
    </row>
    <row r="550" ht="14.25" customHeight="1">
      <c r="A550" s="324" t="s">
        <v>1498</v>
      </c>
      <c r="B550" s="329">
        <v>2000.0</v>
      </c>
      <c r="C550" s="326">
        <f t="shared" si="17"/>
        <v>1900</v>
      </c>
      <c r="D550" s="37"/>
    </row>
    <row r="551" ht="14.25" customHeight="1">
      <c r="A551" s="331" t="s">
        <v>559</v>
      </c>
      <c r="B551" s="16"/>
      <c r="C551" s="17"/>
      <c r="D551" s="37"/>
    </row>
    <row r="552" ht="14.25" customHeight="1">
      <c r="A552" s="332" t="s">
        <v>8</v>
      </c>
      <c r="B552" s="16"/>
      <c r="C552" s="17"/>
      <c r="D552" s="37"/>
    </row>
    <row r="553" ht="14.25" customHeight="1">
      <c r="A553" s="333"/>
      <c r="B553" s="334"/>
      <c r="C553" s="335"/>
      <c r="D553" s="37"/>
    </row>
    <row r="554" ht="14.25" customHeight="1">
      <c r="A554" s="333" t="s">
        <v>1506</v>
      </c>
      <c r="B554" s="334">
        <v>5000.0</v>
      </c>
      <c r="C554" s="335">
        <f t="shared" ref="C554:C559" si="18">B554*0.95</f>
        <v>4750</v>
      </c>
      <c r="D554" s="37"/>
    </row>
    <row r="555" ht="14.25" customHeight="1">
      <c r="A555" s="333" t="s">
        <v>1508</v>
      </c>
      <c r="B555" s="334">
        <v>5000.0</v>
      </c>
      <c r="C555" s="335">
        <f t="shared" si="18"/>
        <v>4750</v>
      </c>
      <c r="D555" s="37"/>
    </row>
    <row r="556" ht="14.25" customHeight="1">
      <c r="A556" s="336" t="s">
        <v>1510</v>
      </c>
      <c r="B556" s="337">
        <v>5000.0</v>
      </c>
      <c r="C556" s="335">
        <f t="shared" si="18"/>
        <v>4750</v>
      </c>
      <c r="D556" s="37"/>
    </row>
    <row r="557" ht="14.25" customHeight="1">
      <c r="A557" s="333" t="s">
        <v>1513</v>
      </c>
      <c r="B557" s="334">
        <v>5000.0</v>
      </c>
      <c r="C557" s="335">
        <f t="shared" si="18"/>
        <v>4750</v>
      </c>
      <c r="D557" s="37"/>
    </row>
    <row r="558" ht="14.25" customHeight="1">
      <c r="A558" s="336" t="s">
        <v>1515</v>
      </c>
      <c r="B558" s="337">
        <v>5500.0</v>
      </c>
      <c r="C558" s="335">
        <f t="shared" si="18"/>
        <v>5225</v>
      </c>
      <c r="D558" s="37"/>
    </row>
    <row r="559" ht="14.25" customHeight="1">
      <c r="A559" s="336" t="s">
        <v>1516</v>
      </c>
      <c r="B559" s="337">
        <v>5500.0</v>
      </c>
      <c r="C559" s="335">
        <f t="shared" si="18"/>
        <v>5225</v>
      </c>
      <c r="D559" s="37"/>
    </row>
    <row r="560" ht="14.25" customHeight="1">
      <c r="A560" s="336" t="s">
        <v>1519</v>
      </c>
      <c r="B560" s="337">
        <v>6500.0</v>
      </c>
      <c r="C560" s="335">
        <f>B560*0.97</f>
        <v>6305</v>
      </c>
      <c r="D560" s="37"/>
    </row>
    <row r="561" ht="14.25" customHeight="1">
      <c r="A561" s="333" t="s">
        <v>1521</v>
      </c>
      <c r="B561" s="334">
        <v>5000.0</v>
      </c>
      <c r="C561" s="335">
        <f t="shared" ref="C561:C573" si="19">B561*0.95</f>
        <v>4750</v>
      </c>
      <c r="D561" s="37"/>
    </row>
    <row r="562" ht="15.0" customHeight="1">
      <c r="A562" s="333" t="s">
        <v>1523</v>
      </c>
      <c r="B562" s="334">
        <v>4700.0</v>
      </c>
      <c r="C562" s="335">
        <f t="shared" si="19"/>
        <v>4465</v>
      </c>
      <c r="D562" s="37"/>
    </row>
    <row r="563" ht="14.25" customHeight="1">
      <c r="A563" s="336" t="s">
        <v>1526</v>
      </c>
      <c r="B563" s="337">
        <v>4500.0</v>
      </c>
      <c r="C563" s="335">
        <f t="shared" si="19"/>
        <v>4275</v>
      </c>
      <c r="D563" s="37"/>
    </row>
    <row r="564" ht="14.25" customHeight="1">
      <c r="A564" s="336" t="s">
        <v>1528</v>
      </c>
      <c r="B564" s="337">
        <v>4500.0</v>
      </c>
      <c r="C564" s="335">
        <f t="shared" si="19"/>
        <v>4275</v>
      </c>
      <c r="D564" s="37"/>
    </row>
    <row r="565" ht="14.25" customHeight="1">
      <c r="A565" s="333" t="s">
        <v>1530</v>
      </c>
      <c r="B565" s="337">
        <v>4500.0</v>
      </c>
      <c r="C565" s="335">
        <f t="shared" si="19"/>
        <v>4275</v>
      </c>
      <c r="D565" s="37"/>
    </row>
    <row r="566" ht="14.25" customHeight="1">
      <c r="A566" s="336" t="s">
        <v>1532</v>
      </c>
      <c r="B566" s="337">
        <v>4500.0</v>
      </c>
      <c r="C566" s="335">
        <f t="shared" si="19"/>
        <v>4275</v>
      </c>
      <c r="D566" s="37"/>
    </row>
    <row r="567" ht="14.25" customHeight="1">
      <c r="A567" s="333" t="s">
        <v>1534</v>
      </c>
      <c r="B567" s="334">
        <v>4700.0</v>
      </c>
      <c r="C567" s="335">
        <f t="shared" si="19"/>
        <v>4465</v>
      </c>
      <c r="D567" s="37"/>
    </row>
    <row r="568" ht="14.25" customHeight="1">
      <c r="A568" s="336" t="s">
        <v>1536</v>
      </c>
      <c r="B568" s="338">
        <v>5000.0</v>
      </c>
      <c r="C568" s="335">
        <f t="shared" si="19"/>
        <v>4750</v>
      </c>
      <c r="D568" s="339"/>
    </row>
    <row r="569" ht="14.25" customHeight="1">
      <c r="A569" s="336" t="s">
        <v>1558</v>
      </c>
      <c r="B569" s="338">
        <v>5000.0</v>
      </c>
      <c r="C569" s="335">
        <f t="shared" si="19"/>
        <v>4750</v>
      </c>
      <c r="D569" s="339"/>
    </row>
    <row r="570" ht="14.25" customHeight="1">
      <c r="A570" s="336" t="s">
        <v>1566</v>
      </c>
      <c r="B570" s="338">
        <v>5000.0</v>
      </c>
      <c r="C570" s="335">
        <f t="shared" si="19"/>
        <v>4750</v>
      </c>
      <c r="D570" s="339"/>
    </row>
    <row r="571" ht="14.25" customHeight="1">
      <c r="A571" s="336" t="s">
        <v>1569</v>
      </c>
      <c r="B571" s="338">
        <v>6000.0</v>
      </c>
      <c r="C571" s="335">
        <f t="shared" si="19"/>
        <v>5700</v>
      </c>
      <c r="D571" s="339"/>
    </row>
    <row r="572" ht="14.25" customHeight="1">
      <c r="A572" s="336" t="s">
        <v>1570</v>
      </c>
      <c r="B572" s="338">
        <v>6900.0</v>
      </c>
      <c r="C572" s="335">
        <f t="shared" si="19"/>
        <v>6555</v>
      </c>
      <c r="D572" s="339"/>
    </row>
    <row r="573" ht="14.25" customHeight="1">
      <c r="A573" s="336" t="s">
        <v>1573</v>
      </c>
      <c r="B573" s="338">
        <v>4700.0</v>
      </c>
      <c r="C573" s="335">
        <f t="shared" si="19"/>
        <v>4465</v>
      </c>
      <c r="D573" s="339"/>
    </row>
    <row r="574" ht="14.25" customHeight="1">
      <c r="A574" s="336" t="s">
        <v>1574</v>
      </c>
      <c r="B574" s="338">
        <v>5000.0</v>
      </c>
      <c r="C574" s="335">
        <f>B574*0.97</f>
        <v>4850</v>
      </c>
      <c r="D574" s="339"/>
    </row>
    <row r="575" ht="14.25" customHeight="1">
      <c r="A575" s="336" t="s">
        <v>1581</v>
      </c>
      <c r="B575" s="344">
        <v>5000.0</v>
      </c>
      <c r="C575" s="335">
        <f t="shared" ref="C575:C576" si="20">B575*0.95</f>
        <v>4750</v>
      </c>
      <c r="D575" s="339"/>
    </row>
    <row r="576" ht="14.25" customHeight="1">
      <c r="A576" s="336" t="s">
        <v>1587</v>
      </c>
      <c r="B576" s="344">
        <v>5000.0</v>
      </c>
      <c r="C576" s="335">
        <f t="shared" si="20"/>
        <v>4750</v>
      </c>
      <c r="D576" s="339"/>
    </row>
    <row r="577" ht="14.25" customHeight="1">
      <c r="A577" s="336" t="s">
        <v>1588</v>
      </c>
      <c r="B577" s="344">
        <v>10500.0</v>
      </c>
      <c r="C577" s="335">
        <f t="shared" ref="C577:C578" si="21">B577*0.97</f>
        <v>10185</v>
      </c>
      <c r="D577" s="339"/>
    </row>
    <row r="578" ht="14.25" customHeight="1">
      <c r="A578" s="336" t="s">
        <v>1589</v>
      </c>
      <c r="B578" s="344">
        <v>12000.0</v>
      </c>
      <c r="C578" s="335">
        <f t="shared" si="21"/>
        <v>11640</v>
      </c>
      <c r="D578" s="339"/>
    </row>
    <row r="579" ht="14.25" customHeight="1">
      <c r="A579" s="346" t="s">
        <v>1469</v>
      </c>
      <c r="C579" s="348"/>
      <c r="D579" s="339"/>
    </row>
    <row r="580" ht="14.25" customHeight="1">
      <c r="A580" s="333" t="s">
        <v>1590</v>
      </c>
      <c r="B580" s="350">
        <v>3000.0</v>
      </c>
      <c r="C580" s="350">
        <f t="shared" ref="C580:C589" si="22">B580*0.95</f>
        <v>2850</v>
      </c>
      <c r="D580" s="339"/>
    </row>
    <row r="581" ht="14.25" customHeight="1">
      <c r="A581" s="333" t="s">
        <v>1591</v>
      </c>
      <c r="B581" s="350">
        <v>3000.0</v>
      </c>
      <c r="C581" s="350">
        <f t="shared" si="22"/>
        <v>2850</v>
      </c>
      <c r="D581" s="339"/>
    </row>
    <row r="582" ht="14.25" customHeight="1">
      <c r="A582" s="333" t="s">
        <v>1593</v>
      </c>
      <c r="B582" s="350">
        <v>3000.0</v>
      </c>
      <c r="C582" s="350">
        <f t="shared" si="22"/>
        <v>2850</v>
      </c>
      <c r="D582" s="339"/>
    </row>
    <row r="583" ht="14.25" customHeight="1">
      <c r="A583" s="333" t="s">
        <v>1594</v>
      </c>
      <c r="B583" s="350">
        <v>3000.0</v>
      </c>
      <c r="C583" s="350">
        <f t="shared" si="22"/>
        <v>2850</v>
      </c>
      <c r="D583" s="339"/>
    </row>
    <row r="584" ht="14.25" customHeight="1">
      <c r="A584" s="333" t="s">
        <v>1595</v>
      </c>
      <c r="B584" s="350">
        <v>3000.0</v>
      </c>
      <c r="C584" s="350">
        <f t="shared" si="22"/>
        <v>2850</v>
      </c>
      <c r="D584" s="339"/>
    </row>
    <row r="585" ht="14.25" customHeight="1">
      <c r="A585" s="333" t="s">
        <v>1596</v>
      </c>
      <c r="B585" s="350">
        <v>3000.0</v>
      </c>
      <c r="C585" s="350">
        <f t="shared" si="22"/>
        <v>2850</v>
      </c>
      <c r="D585" s="339"/>
    </row>
    <row r="586" ht="14.25" customHeight="1">
      <c r="A586" s="333" t="s">
        <v>1598</v>
      </c>
      <c r="B586" s="344">
        <v>3500.0</v>
      </c>
      <c r="C586" s="350">
        <f t="shared" si="22"/>
        <v>3325</v>
      </c>
      <c r="D586" s="339"/>
    </row>
    <row r="587" ht="14.25" customHeight="1">
      <c r="A587" s="333" t="s">
        <v>1599</v>
      </c>
      <c r="B587" s="350">
        <v>3000.0</v>
      </c>
      <c r="C587" s="350">
        <f t="shared" si="22"/>
        <v>2850</v>
      </c>
      <c r="D587" s="339"/>
    </row>
    <row r="588" ht="14.25" customHeight="1">
      <c r="A588" s="336" t="s">
        <v>1600</v>
      </c>
      <c r="B588" s="344">
        <v>3000.0</v>
      </c>
      <c r="C588" s="350">
        <f t="shared" si="22"/>
        <v>2850</v>
      </c>
      <c r="D588" s="339"/>
    </row>
    <row r="589" ht="14.25" customHeight="1">
      <c r="A589" s="336" t="s">
        <v>1603</v>
      </c>
      <c r="B589" s="344">
        <v>3000.0</v>
      </c>
      <c r="C589" s="350">
        <f t="shared" si="22"/>
        <v>2850</v>
      </c>
      <c r="D589" s="339"/>
    </row>
    <row r="590" ht="14.25" customHeight="1">
      <c r="A590" s="346" t="s">
        <v>824</v>
      </c>
      <c r="C590" s="348"/>
      <c r="D590" s="339"/>
    </row>
    <row r="591" ht="14.25" customHeight="1">
      <c r="A591" s="333" t="s">
        <v>1605</v>
      </c>
      <c r="B591" s="350">
        <v>3500.0</v>
      </c>
      <c r="C591" s="350">
        <f t="shared" ref="C591:C593" si="23">B591*0.95</f>
        <v>3325</v>
      </c>
      <c r="D591" s="339"/>
    </row>
    <row r="592" ht="14.25" customHeight="1">
      <c r="A592" s="333" t="s">
        <v>1606</v>
      </c>
      <c r="B592" s="350">
        <v>4100.0</v>
      </c>
      <c r="C592" s="350">
        <f t="shared" si="23"/>
        <v>3895</v>
      </c>
      <c r="D592" s="339"/>
    </row>
    <row r="593" ht="14.25" customHeight="1">
      <c r="A593" s="333" t="s">
        <v>1609</v>
      </c>
      <c r="B593" s="350">
        <v>4100.0</v>
      </c>
      <c r="C593" s="350">
        <f t="shared" si="23"/>
        <v>3895</v>
      </c>
      <c r="D593" s="339"/>
    </row>
    <row r="594" ht="14.25" customHeight="1">
      <c r="A594" s="357" t="s">
        <v>865</v>
      </c>
      <c r="D594" s="339"/>
    </row>
    <row r="595" ht="24.0" customHeight="1">
      <c r="A595" s="358"/>
      <c r="B595" s="358"/>
      <c r="C595" s="358"/>
      <c r="D595" s="339"/>
    </row>
    <row r="596" ht="14.25" customHeight="1">
      <c r="A596" s="336" t="s">
        <v>1614</v>
      </c>
      <c r="B596" s="344">
        <v>8500.0</v>
      </c>
      <c r="C596" s="350">
        <f>B596*0.95</f>
        <v>8075</v>
      </c>
      <c r="D596" s="339"/>
    </row>
    <row r="597" ht="14.25" customHeight="1">
      <c r="A597" s="336"/>
      <c r="B597" s="344"/>
      <c r="C597" s="350"/>
      <c r="D597" s="339"/>
    </row>
    <row r="598" ht="14.25" customHeight="1">
      <c r="A598" s="359" t="s">
        <v>668</v>
      </c>
      <c r="B598" s="16"/>
      <c r="C598" s="17"/>
      <c r="D598" s="339"/>
    </row>
    <row r="599" ht="14.25" customHeight="1">
      <c r="A599" s="360" t="s">
        <v>1616</v>
      </c>
      <c r="B599" s="361">
        <v>2500.0</v>
      </c>
      <c r="C599" s="361">
        <f t="shared" ref="C599:C619" si="24">B599*0.95</f>
        <v>2375</v>
      </c>
      <c r="D599" s="339"/>
    </row>
    <row r="600" ht="14.25" customHeight="1">
      <c r="A600" s="336" t="s">
        <v>1619</v>
      </c>
      <c r="B600" s="344">
        <v>2500.0</v>
      </c>
      <c r="C600" s="344">
        <f t="shared" si="24"/>
        <v>2375</v>
      </c>
      <c r="D600" s="339"/>
    </row>
    <row r="601" ht="14.25" customHeight="1">
      <c r="A601" s="336" t="s">
        <v>1620</v>
      </c>
      <c r="B601" s="344">
        <v>2500.0</v>
      </c>
      <c r="C601" s="344">
        <f t="shared" si="24"/>
        <v>2375</v>
      </c>
      <c r="D601" s="339"/>
    </row>
    <row r="602" ht="14.25" customHeight="1">
      <c r="A602" s="336" t="s">
        <v>1623</v>
      </c>
      <c r="B602" s="344">
        <v>2500.0</v>
      </c>
      <c r="C602" s="344">
        <f t="shared" si="24"/>
        <v>2375</v>
      </c>
      <c r="D602" s="339"/>
    </row>
    <row r="603" ht="14.25" customHeight="1">
      <c r="A603" s="336" t="s">
        <v>1624</v>
      </c>
      <c r="B603" s="344">
        <v>2500.0</v>
      </c>
      <c r="C603" s="344">
        <f t="shared" si="24"/>
        <v>2375</v>
      </c>
      <c r="D603" s="339"/>
    </row>
    <row r="604" ht="14.25" customHeight="1">
      <c r="A604" s="336" t="s">
        <v>1625</v>
      </c>
      <c r="B604" s="344">
        <v>2500.0</v>
      </c>
      <c r="C604" s="344">
        <f t="shared" si="24"/>
        <v>2375</v>
      </c>
      <c r="D604" s="339"/>
    </row>
    <row r="605" ht="14.25" customHeight="1">
      <c r="A605" s="336" t="s">
        <v>1627</v>
      </c>
      <c r="B605" s="344">
        <v>2500.0</v>
      </c>
      <c r="C605" s="344">
        <f t="shared" si="24"/>
        <v>2375</v>
      </c>
      <c r="D605" s="339"/>
    </row>
    <row r="606" ht="14.25" customHeight="1">
      <c r="A606" s="336" t="s">
        <v>1628</v>
      </c>
      <c r="B606" s="344">
        <v>2500.0</v>
      </c>
      <c r="C606" s="344">
        <f t="shared" si="24"/>
        <v>2375</v>
      </c>
      <c r="D606" s="339"/>
    </row>
    <row r="607" ht="14.25" customHeight="1">
      <c r="A607" s="336" t="s">
        <v>1630</v>
      </c>
      <c r="B607" s="344">
        <v>2500.0</v>
      </c>
      <c r="C607" s="344">
        <f t="shared" si="24"/>
        <v>2375</v>
      </c>
      <c r="D607" s="339"/>
    </row>
    <row r="608" ht="14.25" customHeight="1">
      <c r="A608" s="336" t="s">
        <v>1631</v>
      </c>
      <c r="B608" s="344">
        <v>2500.0</v>
      </c>
      <c r="C608" s="344">
        <f t="shared" si="24"/>
        <v>2375</v>
      </c>
      <c r="D608" s="339"/>
    </row>
    <row r="609" ht="14.25" customHeight="1">
      <c r="A609" s="336" t="s">
        <v>1634</v>
      </c>
      <c r="B609" s="344">
        <v>2500.0</v>
      </c>
      <c r="C609" s="344">
        <f t="shared" si="24"/>
        <v>2375</v>
      </c>
      <c r="D609" s="339"/>
    </row>
    <row r="610" ht="14.25" customHeight="1">
      <c r="A610" s="336" t="s">
        <v>1635</v>
      </c>
      <c r="B610" s="344">
        <v>2500.0</v>
      </c>
      <c r="C610" s="344">
        <f t="shared" si="24"/>
        <v>2375</v>
      </c>
      <c r="D610" s="339"/>
    </row>
    <row r="611" ht="14.25" customHeight="1">
      <c r="A611" s="336" t="s">
        <v>1637</v>
      </c>
      <c r="B611" s="344">
        <v>2500.0</v>
      </c>
      <c r="C611" s="344">
        <f t="shared" si="24"/>
        <v>2375</v>
      </c>
      <c r="D611" s="339"/>
    </row>
    <row r="612" ht="14.25" customHeight="1">
      <c r="A612" s="336" t="s">
        <v>1638</v>
      </c>
      <c r="B612" s="344">
        <v>2500.0</v>
      </c>
      <c r="C612" s="344">
        <f t="shared" si="24"/>
        <v>2375</v>
      </c>
      <c r="D612" s="339"/>
      <c r="E612" s="34"/>
    </row>
    <row r="613" ht="14.25" customHeight="1">
      <c r="A613" s="336" t="s">
        <v>1641</v>
      </c>
      <c r="B613" s="344">
        <v>2500.0</v>
      </c>
      <c r="C613" s="344">
        <f t="shared" si="24"/>
        <v>2375</v>
      </c>
      <c r="D613" s="339"/>
      <c r="E613" s="34"/>
    </row>
    <row r="614" ht="14.25" customHeight="1">
      <c r="A614" s="336" t="s">
        <v>1642</v>
      </c>
      <c r="B614" s="344">
        <v>2500.0</v>
      </c>
      <c r="C614" s="344">
        <f t="shared" si="24"/>
        <v>2375</v>
      </c>
      <c r="D614" s="339"/>
      <c r="E614" s="34"/>
    </row>
    <row r="615" ht="14.25" customHeight="1">
      <c r="A615" s="336" t="s">
        <v>1644</v>
      </c>
      <c r="B615" s="344">
        <v>2500.0</v>
      </c>
      <c r="C615" s="344">
        <f t="shared" si="24"/>
        <v>2375</v>
      </c>
      <c r="D615" s="339"/>
      <c r="E615" s="34"/>
    </row>
    <row r="616" ht="14.25" customHeight="1">
      <c r="A616" s="336" t="s">
        <v>1645</v>
      </c>
      <c r="B616" s="344">
        <v>2500.0</v>
      </c>
      <c r="C616" s="344">
        <f t="shared" si="24"/>
        <v>2375</v>
      </c>
      <c r="D616" s="339"/>
    </row>
    <row r="617" ht="14.25" customHeight="1">
      <c r="A617" s="336" t="s">
        <v>1646</v>
      </c>
      <c r="B617" s="344">
        <v>2500.0</v>
      </c>
      <c r="C617" s="344">
        <f t="shared" si="24"/>
        <v>2375</v>
      </c>
      <c r="D617" s="339"/>
    </row>
    <row r="618" ht="14.25" customHeight="1">
      <c r="A618" s="336" t="s">
        <v>1648</v>
      </c>
      <c r="B618" s="344">
        <v>2500.0</v>
      </c>
      <c r="C618" s="344">
        <f t="shared" si="24"/>
        <v>2375</v>
      </c>
      <c r="D618" s="339"/>
    </row>
    <row r="619" ht="14.25" customHeight="1">
      <c r="A619" s="336" t="s">
        <v>1649</v>
      </c>
      <c r="B619" s="344">
        <v>2500.0</v>
      </c>
      <c r="C619" s="344">
        <f t="shared" si="24"/>
        <v>2375</v>
      </c>
      <c r="D619" s="339"/>
    </row>
    <row r="620" ht="22.5" customHeight="1">
      <c r="A620" s="359" t="s">
        <v>1650</v>
      </c>
      <c r="B620" s="16"/>
      <c r="C620" s="17"/>
      <c r="D620" s="339"/>
    </row>
    <row r="621" ht="14.25" customHeight="1">
      <c r="A621" s="336" t="s">
        <v>1652</v>
      </c>
      <c r="B621" s="344">
        <v>2000.0</v>
      </c>
      <c r="C621" s="344">
        <f t="shared" ref="C621:C629" si="25">B621*0.95</f>
        <v>1900</v>
      </c>
      <c r="D621" s="339"/>
    </row>
    <row r="622" ht="14.25" customHeight="1">
      <c r="A622" s="336" t="s">
        <v>1654</v>
      </c>
      <c r="B622" s="344">
        <v>2000.0</v>
      </c>
      <c r="C622" s="344">
        <f t="shared" si="25"/>
        <v>1900</v>
      </c>
      <c r="D622" s="339"/>
    </row>
    <row r="623" ht="14.25" customHeight="1">
      <c r="A623" s="336" t="s">
        <v>1655</v>
      </c>
      <c r="B623" s="344">
        <v>2000.0</v>
      </c>
      <c r="C623" s="344">
        <f t="shared" si="25"/>
        <v>1900</v>
      </c>
      <c r="D623" s="339"/>
    </row>
    <row r="624" ht="14.25" customHeight="1">
      <c r="A624" s="336" t="s">
        <v>1656</v>
      </c>
      <c r="B624" s="344">
        <v>2500.0</v>
      </c>
      <c r="C624" s="344">
        <f t="shared" si="25"/>
        <v>2375</v>
      </c>
      <c r="D624" s="339"/>
    </row>
    <row r="625" ht="14.25" customHeight="1">
      <c r="A625" s="336" t="s">
        <v>1657</v>
      </c>
      <c r="B625" s="344">
        <v>3500.0</v>
      </c>
      <c r="C625" s="344">
        <f t="shared" si="25"/>
        <v>3325</v>
      </c>
      <c r="D625" s="339"/>
    </row>
    <row r="626" ht="14.25" customHeight="1">
      <c r="A626" s="336" t="s">
        <v>1658</v>
      </c>
      <c r="B626" s="344">
        <v>3000.0</v>
      </c>
      <c r="C626" s="344">
        <f t="shared" si="25"/>
        <v>2850</v>
      </c>
      <c r="D626" s="339"/>
    </row>
    <row r="627" ht="14.25" customHeight="1">
      <c r="A627" s="336" t="s">
        <v>1660</v>
      </c>
      <c r="B627" s="344">
        <v>2500.0</v>
      </c>
      <c r="C627" s="344">
        <f t="shared" si="25"/>
        <v>2375</v>
      </c>
      <c r="D627" s="339"/>
    </row>
    <row r="628" ht="14.25" customHeight="1">
      <c r="A628" s="336" t="s">
        <v>1661</v>
      </c>
      <c r="B628" s="344">
        <v>2500.0</v>
      </c>
      <c r="C628" s="344">
        <f t="shared" si="25"/>
        <v>2375</v>
      </c>
      <c r="D628" s="339"/>
    </row>
    <row r="629" ht="14.25" customHeight="1">
      <c r="A629" s="336" t="s">
        <v>1662</v>
      </c>
      <c r="B629" s="344">
        <v>2500.0</v>
      </c>
      <c r="C629" s="344">
        <f t="shared" si="25"/>
        <v>2375</v>
      </c>
      <c r="D629" s="339"/>
    </row>
    <row r="630" ht="14.25" customHeight="1">
      <c r="A630" s="336"/>
      <c r="B630" s="344"/>
      <c r="C630" s="344"/>
      <c r="D630" s="339"/>
    </row>
    <row r="631" ht="14.25" customHeight="1">
      <c r="A631" s="370" t="s">
        <v>648</v>
      </c>
      <c r="C631" s="348"/>
      <c r="D631" s="339"/>
    </row>
    <row r="632" ht="14.25" customHeight="1">
      <c r="A632" s="372" t="s">
        <v>1663</v>
      </c>
      <c r="B632" s="16"/>
      <c r="C632" s="17"/>
      <c r="D632" s="339"/>
    </row>
    <row r="633" ht="14.25" customHeight="1">
      <c r="A633" s="374" t="s">
        <v>1665</v>
      </c>
      <c r="B633" s="375">
        <v>7200.0</v>
      </c>
      <c r="C633" s="376">
        <f t="shared" ref="C633:C659" si="26">B633*0.97</f>
        <v>6984</v>
      </c>
      <c r="D633" s="339"/>
    </row>
    <row r="634" ht="14.25" customHeight="1">
      <c r="A634" s="377" t="s">
        <v>1666</v>
      </c>
      <c r="B634" s="376">
        <v>5700.0</v>
      </c>
      <c r="C634" s="376">
        <f t="shared" si="26"/>
        <v>5529</v>
      </c>
      <c r="D634" s="339"/>
    </row>
    <row r="635" ht="14.25" customHeight="1">
      <c r="A635" s="377" t="s">
        <v>1667</v>
      </c>
      <c r="B635" s="376">
        <v>5700.0</v>
      </c>
      <c r="C635" s="376">
        <f t="shared" si="26"/>
        <v>5529</v>
      </c>
      <c r="D635" s="339"/>
    </row>
    <row r="636" ht="14.25" customHeight="1">
      <c r="A636" s="377" t="s">
        <v>1668</v>
      </c>
      <c r="B636" s="375">
        <v>7000.0</v>
      </c>
      <c r="C636" s="376">
        <f t="shared" si="26"/>
        <v>6790</v>
      </c>
      <c r="D636" s="339"/>
    </row>
    <row r="637" ht="14.25" customHeight="1">
      <c r="A637" s="374" t="s">
        <v>1669</v>
      </c>
      <c r="B637" s="375">
        <v>7900.0</v>
      </c>
      <c r="C637" s="376">
        <f t="shared" si="26"/>
        <v>7663</v>
      </c>
      <c r="D637" s="339"/>
    </row>
    <row r="638" ht="14.25" customHeight="1">
      <c r="A638" s="377" t="s">
        <v>1670</v>
      </c>
      <c r="B638" s="375">
        <v>7500.0</v>
      </c>
      <c r="C638" s="376">
        <f t="shared" si="26"/>
        <v>7275</v>
      </c>
      <c r="D638" s="339"/>
    </row>
    <row r="639" ht="14.25" customHeight="1">
      <c r="A639" s="377" t="s">
        <v>1671</v>
      </c>
      <c r="B639" s="375">
        <v>7500.0</v>
      </c>
      <c r="C639" s="376">
        <f t="shared" si="26"/>
        <v>7275</v>
      </c>
      <c r="D639" s="339"/>
    </row>
    <row r="640" ht="14.25" customHeight="1">
      <c r="A640" s="377" t="s">
        <v>1673</v>
      </c>
      <c r="B640" s="376">
        <v>6500.0</v>
      </c>
      <c r="C640" s="376">
        <f t="shared" si="26"/>
        <v>6305</v>
      </c>
      <c r="D640" s="339"/>
    </row>
    <row r="641" ht="14.25" customHeight="1">
      <c r="A641" s="380" t="s">
        <v>1674</v>
      </c>
      <c r="B641" s="375">
        <v>8200.0</v>
      </c>
      <c r="C641" s="376">
        <f t="shared" si="26"/>
        <v>7954</v>
      </c>
      <c r="D641" s="339"/>
    </row>
    <row r="642" ht="14.25" customHeight="1">
      <c r="A642" s="380" t="s">
        <v>1676</v>
      </c>
      <c r="B642" s="375">
        <v>8900.0</v>
      </c>
      <c r="C642" s="376">
        <f t="shared" si="26"/>
        <v>8633</v>
      </c>
      <c r="D642" s="339"/>
    </row>
    <row r="643" ht="14.25" customHeight="1">
      <c r="A643" s="377" t="s">
        <v>1677</v>
      </c>
      <c r="B643" s="375">
        <v>6500.0</v>
      </c>
      <c r="C643" s="376">
        <f t="shared" si="26"/>
        <v>6305</v>
      </c>
      <c r="D643" s="339"/>
    </row>
    <row r="644" ht="14.25" customHeight="1">
      <c r="A644" s="377" t="s">
        <v>1678</v>
      </c>
      <c r="B644" s="375">
        <v>9000.0</v>
      </c>
      <c r="C644" s="376">
        <f t="shared" si="26"/>
        <v>8730</v>
      </c>
      <c r="D644" s="339"/>
    </row>
    <row r="645" ht="14.25" customHeight="1">
      <c r="A645" s="377" t="s">
        <v>1679</v>
      </c>
      <c r="B645" s="376">
        <v>8100.0</v>
      </c>
      <c r="C645" s="376">
        <f t="shared" si="26"/>
        <v>7857</v>
      </c>
      <c r="D645" s="339"/>
    </row>
    <row r="646" ht="14.25" customHeight="1">
      <c r="A646" s="377" t="s">
        <v>1681</v>
      </c>
      <c r="B646" s="376">
        <v>8500.0</v>
      </c>
      <c r="C646" s="376">
        <f t="shared" si="26"/>
        <v>8245</v>
      </c>
      <c r="D646" s="339"/>
    </row>
    <row r="647" ht="14.25" customHeight="1">
      <c r="A647" s="374" t="s">
        <v>1682</v>
      </c>
      <c r="B647" s="375">
        <v>12400.0</v>
      </c>
      <c r="C647" s="376">
        <f t="shared" si="26"/>
        <v>12028</v>
      </c>
      <c r="D647" s="339"/>
    </row>
    <row r="648" ht="14.25" customHeight="1">
      <c r="A648" s="374" t="s">
        <v>1683</v>
      </c>
      <c r="B648" s="375">
        <v>12400.0</v>
      </c>
      <c r="C648" s="376">
        <f t="shared" si="26"/>
        <v>12028</v>
      </c>
      <c r="D648" s="339"/>
    </row>
    <row r="649" ht="14.25" customHeight="1">
      <c r="A649" s="374" t="s">
        <v>1684</v>
      </c>
      <c r="B649" s="375">
        <v>18500.0</v>
      </c>
      <c r="C649" s="376">
        <f t="shared" si="26"/>
        <v>17945</v>
      </c>
      <c r="D649" s="339"/>
    </row>
    <row r="650" ht="14.25" customHeight="1">
      <c r="A650" s="374" t="s">
        <v>1685</v>
      </c>
      <c r="B650" s="375">
        <v>18000.0</v>
      </c>
      <c r="C650" s="376">
        <f t="shared" si="26"/>
        <v>17460</v>
      </c>
      <c r="D650" s="339"/>
    </row>
    <row r="651" ht="14.25" customHeight="1">
      <c r="A651" s="374" t="s">
        <v>1686</v>
      </c>
      <c r="B651" s="375">
        <v>18000.0</v>
      </c>
      <c r="C651" s="376">
        <f t="shared" si="26"/>
        <v>17460</v>
      </c>
      <c r="D651" s="339"/>
    </row>
    <row r="652" ht="14.25" customHeight="1">
      <c r="A652" s="374" t="s">
        <v>1687</v>
      </c>
      <c r="B652" s="375">
        <v>22000.0</v>
      </c>
      <c r="C652" s="376">
        <f t="shared" si="26"/>
        <v>21340</v>
      </c>
      <c r="D652" s="339"/>
    </row>
    <row r="653" ht="14.25" customHeight="1">
      <c r="A653" s="382" t="s">
        <v>1688</v>
      </c>
      <c r="B653" s="375">
        <v>17900.0</v>
      </c>
      <c r="C653" s="376">
        <f t="shared" si="26"/>
        <v>17363</v>
      </c>
      <c r="D653" s="339"/>
    </row>
    <row r="654" ht="14.25" customHeight="1">
      <c r="A654" s="382" t="s">
        <v>1690</v>
      </c>
      <c r="B654" s="375">
        <v>26200.0</v>
      </c>
      <c r="C654" s="376">
        <f t="shared" si="26"/>
        <v>25414</v>
      </c>
      <c r="D654" s="339"/>
    </row>
    <row r="655" ht="14.25" customHeight="1">
      <c r="A655" s="382" t="s">
        <v>1692</v>
      </c>
      <c r="B655" s="375">
        <v>28000.0</v>
      </c>
      <c r="C655" s="376">
        <f t="shared" si="26"/>
        <v>27160</v>
      </c>
      <c r="D655" s="339"/>
    </row>
    <row r="656" ht="14.25" customHeight="1">
      <c r="A656" s="382" t="s">
        <v>1693</v>
      </c>
      <c r="B656" s="375">
        <v>18900.0</v>
      </c>
      <c r="C656" s="376">
        <f t="shared" si="26"/>
        <v>18333</v>
      </c>
      <c r="D656" s="339"/>
    </row>
    <row r="657" ht="14.25" customHeight="1">
      <c r="A657" s="382" t="s">
        <v>1695</v>
      </c>
      <c r="B657" s="375">
        <v>18900.0</v>
      </c>
      <c r="C657" s="376">
        <f t="shared" si="26"/>
        <v>18333</v>
      </c>
      <c r="D657" s="339"/>
    </row>
    <row r="658" ht="14.25" customHeight="1">
      <c r="A658" s="382" t="s">
        <v>1696</v>
      </c>
      <c r="B658" s="375">
        <v>18900.0</v>
      </c>
      <c r="C658" s="376">
        <f t="shared" si="26"/>
        <v>18333</v>
      </c>
      <c r="D658" s="339"/>
    </row>
    <row r="659" ht="14.25" customHeight="1">
      <c r="A659" s="382" t="s">
        <v>1698</v>
      </c>
      <c r="B659" s="375">
        <v>22500.0</v>
      </c>
      <c r="C659" s="376">
        <f t="shared" si="26"/>
        <v>21825</v>
      </c>
      <c r="D659" s="339"/>
    </row>
    <row r="660" ht="14.25" customHeight="1">
      <c r="A660" s="372" t="s">
        <v>1699</v>
      </c>
      <c r="B660" s="16"/>
      <c r="C660" s="17"/>
      <c r="D660" s="339"/>
    </row>
    <row r="661" ht="14.25" customHeight="1">
      <c r="A661" s="377" t="s">
        <v>1701</v>
      </c>
      <c r="B661" s="375">
        <v>9000.0</v>
      </c>
      <c r="C661" s="376">
        <f t="shared" ref="C661:C664" si="27">B661*0.97</f>
        <v>8730</v>
      </c>
      <c r="D661" s="339"/>
    </row>
    <row r="662" ht="14.25" customHeight="1">
      <c r="A662" s="377" t="s">
        <v>1702</v>
      </c>
      <c r="B662" s="375">
        <v>11000.0</v>
      </c>
      <c r="C662" s="376">
        <f t="shared" si="27"/>
        <v>10670</v>
      </c>
      <c r="D662" s="339"/>
    </row>
    <row r="663" ht="14.25" customHeight="1">
      <c r="A663" s="374" t="s">
        <v>1703</v>
      </c>
      <c r="B663" s="375">
        <v>12900.0</v>
      </c>
      <c r="C663" s="376">
        <f t="shared" si="27"/>
        <v>12513</v>
      </c>
      <c r="D663" s="339"/>
    </row>
    <row r="664" ht="14.25" customHeight="1">
      <c r="A664" s="374" t="s">
        <v>1704</v>
      </c>
      <c r="B664" s="376">
        <v>13900.0</v>
      </c>
      <c r="C664" s="376">
        <f t="shared" si="27"/>
        <v>13483</v>
      </c>
      <c r="D664" s="339"/>
    </row>
    <row r="665" ht="14.25" customHeight="1">
      <c r="A665" s="384" t="s">
        <v>1706</v>
      </c>
      <c r="B665" s="16"/>
      <c r="C665" s="17"/>
      <c r="D665" s="339"/>
    </row>
    <row r="666" ht="14.25" customHeight="1">
      <c r="A666" s="374" t="s">
        <v>1709</v>
      </c>
      <c r="B666" s="375">
        <v>1800.0</v>
      </c>
      <c r="C666" s="376">
        <f t="shared" ref="C666:C685" si="28">B666*0.97</f>
        <v>1746</v>
      </c>
      <c r="D666" s="339"/>
    </row>
    <row r="667" ht="14.25" customHeight="1">
      <c r="A667" s="374" t="s">
        <v>1711</v>
      </c>
      <c r="B667" s="375">
        <v>1800.0</v>
      </c>
      <c r="C667" s="376">
        <f t="shared" si="28"/>
        <v>1746</v>
      </c>
      <c r="D667" s="339"/>
    </row>
    <row r="668" ht="14.25" customHeight="1">
      <c r="A668" s="374" t="s">
        <v>1712</v>
      </c>
      <c r="B668" s="375">
        <v>1800.0</v>
      </c>
      <c r="C668" s="376">
        <f t="shared" si="28"/>
        <v>1746</v>
      </c>
      <c r="D668" s="339"/>
    </row>
    <row r="669" ht="14.25" customHeight="1">
      <c r="A669" s="374" t="s">
        <v>1714</v>
      </c>
      <c r="B669" s="375">
        <v>1800.0</v>
      </c>
      <c r="C669" s="376">
        <f t="shared" si="28"/>
        <v>1746</v>
      </c>
      <c r="D669" s="339"/>
    </row>
    <row r="670" ht="14.25" customHeight="1">
      <c r="A670" s="374" t="s">
        <v>1715</v>
      </c>
      <c r="B670" s="375">
        <v>1800.0</v>
      </c>
      <c r="C670" s="376">
        <f t="shared" si="28"/>
        <v>1746</v>
      </c>
      <c r="D670" s="339"/>
    </row>
    <row r="671" ht="14.25" customHeight="1">
      <c r="A671" s="374" t="s">
        <v>1718</v>
      </c>
      <c r="B671" s="375">
        <v>1800.0</v>
      </c>
      <c r="C671" s="376">
        <f t="shared" si="28"/>
        <v>1746</v>
      </c>
      <c r="D671" s="339"/>
    </row>
    <row r="672" ht="14.25" customHeight="1">
      <c r="A672" s="374" t="s">
        <v>1719</v>
      </c>
      <c r="B672" s="375">
        <v>1800.0</v>
      </c>
      <c r="C672" s="376">
        <f t="shared" si="28"/>
        <v>1746</v>
      </c>
      <c r="D672" s="339"/>
    </row>
    <row r="673" ht="14.25" customHeight="1">
      <c r="A673" s="374" t="s">
        <v>1720</v>
      </c>
      <c r="B673" s="375">
        <v>1800.0</v>
      </c>
      <c r="C673" s="376">
        <f t="shared" si="28"/>
        <v>1746</v>
      </c>
      <c r="D673" s="339"/>
    </row>
    <row r="674" ht="14.25" customHeight="1">
      <c r="A674" s="374" t="s">
        <v>1721</v>
      </c>
      <c r="B674" s="375">
        <v>1800.0</v>
      </c>
      <c r="C674" s="376">
        <f t="shared" si="28"/>
        <v>1746</v>
      </c>
      <c r="D674" s="339"/>
    </row>
    <row r="675" ht="14.25" customHeight="1">
      <c r="A675" s="374" t="s">
        <v>1723</v>
      </c>
      <c r="B675" s="375">
        <v>2000.0</v>
      </c>
      <c r="C675" s="376">
        <f t="shared" si="28"/>
        <v>1940</v>
      </c>
      <c r="D675" s="339"/>
    </row>
    <row r="676" ht="14.25" customHeight="1">
      <c r="A676" s="374" t="s">
        <v>1725</v>
      </c>
      <c r="B676" s="375">
        <v>2000.0</v>
      </c>
      <c r="C676" s="376">
        <f t="shared" si="28"/>
        <v>1940</v>
      </c>
      <c r="D676" s="339"/>
    </row>
    <row r="677" ht="14.25" customHeight="1">
      <c r="A677" s="374" t="s">
        <v>1726</v>
      </c>
      <c r="B677" s="375">
        <v>2000.0</v>
      </c>
      <c r="C677" s="376">
        <f t="shared" si="28"/>
        <v>1940</v>
      </c>
      <c r="D677" s="339"/>
    </row>
    <row r="678" ht="14.25" customHeight="1">
      <c r="A678" s="374" t="s">
        <v>1728</v>
      </c>
      <c r="B678" s="375">
        <v>2000.0</v>
      </c>
      <c r="C678" s="376">
        <f t="shared" si="28"/>
        <v>1940</v>
      </c>
      <c r="D678" s="339"/>
    </row>
    <row r="679" ht="14.25" customHeight="1">
      <c r="A679" s="374" t="s">
        <v>1729</v>
      </c>
      <c r="B679" s="375">
        <v>2000.0</v>
      </c>
      <c r="C679" s="376">
        <f t="shared" si="28"/>
        <v>1940</v>
      </c>
      <c r="D679" s="339"/>
    </row>
    <row r="680" ht="14.25" customHeight="1">
      <c r="A680" s="374" t="s">
        <v>1730</v>
      </c>
      <c r="B680" s="375">
        <v>2000.0</v>
      </c>
      <c r="C680" s="376">
        <f t="shared" si="28"/>
        <v>1940</v>
      </c>
      <c r="D680" s="339"/>
    </row>
    <row r="681" ht="15.0" customHeight="1">
      <c r="A681" s="374" t="s">
        <v>1732</v>
      </c>
      <c r="B681" s="375">
        <v>2000.0</v>
      </c>
      <c r="C681" s="376">
        <f t="shared" si="28"/>
        <v>1940</v>
      </c>
      <c r="D681" s="339"/>
    </row>
    <row r="682" ht="15.0" customHeight="1">
      <c r="A682" s="374" t="s">
        <v>1733</v>
      </c>
      <c r="B682" s="375">
        <v>2000.0</v>
      </c>
      <c r="C682" s="376">
        <f t="shared" si="28"/>
        <v>1940</v>
      </c>
      <c r="D682" s="339"/>
    </row>
    <row r="683" ht="15.0" customHeight="1">
      <c r="A683" s="374" t="s">
        <v>1736</v>
      </c>
      <c r="B683" s="375">
        <v>2000.0</v>
      </c>
      <c r="C683" s="376">
        <f t="shared" si="28"/>
        <v>1940</v>
      </c>
      <c r="D683" s="339"/>
    </row>
    <row r="684" ht="15.0" customHeight="1">
      <c r="A684" s="374" t="s">
        <v>1737</v>
      </c>
      <c r="B684" s="375">
        <v>2500.0</v>
      </c>
      <c r="C684" s="376">
        <f t="shared" si="28"/>
        <v>2425</v>
      </c>
      <c r="D684" s="339"/>
    </row>
    <row r="685" ht="14.25" customHeight="1">
      <c r="A685" s="374" t="s">
        <v>1739</v>
      </c>
      <c r="B685" s="375">
        <v>2500.0</v>
      </c>
      <c r="C685" s="376">
        <f t="shared" si="28"/>
        <v>2425</v>
      </c>
      <c r="D685" s="339"/>
    </row>
    <row r="686" ht="30.0" customHeight="1">
      <c r="A686" s="384" t="s">
        <v>1740</v>
      </c>
      <c r="B686" s="16"/>
      <c r="C686" s="17"/>
      <c r="D686" s="339"/>
    </row>
    <row r="687" ht="18.75" customHeight="1">
      <c r="A687" s="387" t="s">
        <v>1742</v>
      </c>
      <c r="B687" s="388">
        <v>2000.0</v>
      </c>
      <c r="C687" s="389">
        <f t="shared" ref="C687:C708" si="29">B687*0.97</f>
        <v>1940</v>
      </c>
      <c r="D687" s="339"/>
    </row>
    <row r="688" ht="19.5" customHeight="1">
      <c r="A688" s="387" t="s">
        <v>1745</v>
      </c>
      <c r="B688" s="388">
        <v>2000.0</v>
      </c>
      <c r="C688" s="389">
        <f t="shared" si="29"/>
        <v>1940</v>
      </c>
      <c r="D688" s="339"/>
    </row>
    <row r="689" ht="18.75" customHeight="1">
      <c r="A689" s="387" t="s">
        <v>1748</v>
      </c>
      <c r="B689" s="388">
        <v>2000.0</v>
      </c>
      <c r="C689" s="389">
        <f t="shared" si="29"/>
        <v>1940</v>
      </c>
      <c r="D689" s="339"/>
    </row>
    <row r="690" ht="19.5" customHeight="1">
      <c r="A690" s="387" t="s">
        <v>1749</v>
      </c>
      <c r="B690" s="388">
        <v>2000.0</v>
      </c>
      <c r="C690" s="389">
        <f t="shared" si="29"/>
        <v>1940</v>
      </c>
      <c r="D690" s="339"/>
    </row>
    <row r="691" ht="21.75" customHeight="1">
      <c r="A691" s="387" t="s">
        <v>1752</v>
      </c>
      <c r="B691" s="388">
        <v>2000.0</v>
      </c>
      <c r="C691" s="389">
        <f t="shared" si="29"/>
        <v>1940</v>
      </c>
      <c r="D691" s="339"/>
    </row>
    <row r="692" ht="19.5" customHeight="1">
      <c r="A692" s="387" t="s">
        <v>1753</v>
      </c>
      <c r="B692" s="388">
        <v>2000.0</v>
      </c>
      <c r="C692" s="389">
        <f t="shared" si="29"/>
        <v>1940</v>
      </c>
      <c r="D692" s="339"/>
    </row>
    <row r="693" ht="19.5" customHeight="1">
      <c r="A693" s="387" t="s">
        <v>1756</v>
      </c>
      <c r="B693" s="388">
        <v>2000.0</v>
      </c>
      <c r="C693" s="389">
        <f t="shared" si="29"/>
        <v>1940</v>
      </c>
      <c r="D693" s="339"/>
    </row>
    <row r="694" ht="19.5" customHeight="1">
      <c r="A694" s="387" t="s">
        <v>1757</v>
      </c>
      <c r="B694" s="388">
        <v>2000.0</v>
      </c>
      <c r="C694" s="389">
        <f t="shared" si="29"/>
        <v>1940</v>
      </c>
      <c r="D694" s="339"/>
    </row>
    <row r="695" ht="19.5" customHeight="1">
      <c r="A695" s="387" t="s">
        <v>1760</v>
      </c>
      <c r="B695" s="388">
        <v>2000.0</v>
      </c>
      <c r="C695" s="389">
        <f t="shared" si="29"/>
        <v>1940</v>
      </c>
      <c r="D695" s="339"/>
    </row>
    <row r="696" ht="19.5" customHeight="1">
      <c r="A696" s="387" t="s">
        <v>1762</v>
      </c>
      <c r="B696" s="388">
        <v>2000.0</v>
      </c>
      <c r="C696" s="389">
        <f t="shared" si="29"/>
        <v>1940</v>
      </c>
      <c r="D696" s="339"/>
    </row>
    <row r="697" ht="19.5" customHeight="1">
      <c r="A697" s="387" t="s">
        <v>1764</v>
      </c>
      <c r="B697" s="388">
        <v>2000.0</v>
      </c>
      <c r="C697" s="389">
        <f t="shared" si="29"/>
        <v>1940</v>
      </c>
      <c r="D697" s="339"/>
    </row>
    <row r="698" ht="19.5" customHeight="1">
      <c r="A698" s="387" t="s">
        <v>1765</v>
      </c>
      <c r="B698" s="388">
        <v>2000.0</v>
      </c>
      <c r="C698" s="389">
        <f t="shared" si="29"/>
        <v>1940</v>
      </c>
      <c r="D698" s="339"/>
    </row>
    <row r="699" ht="19.5" customHeight="1">
      <c r="A699" s="387" t="s">
        <v>1767</v>
      </c>
      <c r="B699" s="388">
        <v>2000.0</v>
      </c>
      <c r="C699" s="389">
        <f t="shared" si="29"/>
        <v>1940</v>
      </c>
      <c r="D699" s="339"/>
    </row>
    <row r="700" ht="19.5" customHeight="1">
      <c r="A700" s="387" t="s">
        <v>1768</v>
      </c>
      <c r="B700" s="388">
        <v>2000.0</v>
      </c>
      <c r="C700" s="389">
        <f t="shared" si="29"/>
        <v>1940</v>
      </c>
      <c r="D700" s="339"/>
    </row>
    <row r="701" ht="19.5" customHeight="1">
      <c r="A701" s="387" t="s">
        <v>1771</v>
      </c>
      <c r="B701" s="388">
        <v>2000.0</v>
      </c>
      <c r="C701" s="389">
        <f t="shared" si="29"/>
        <v>1940</v>
      </c>
      <c r="D701" s="339"/>
    </row>
    <row r="702" ht="19.5" customHeight="1">
      <c r="A702" s="387" t="s">
        <v>1772</v>
      </c>
      <c r="B702" s="388">
        <v>2000.0</v>
      </c>
      <c r="C702" s="389">
        <f t="shared" si="29"/>
        <v>1940</v>
      </c>
      <c r="D702" s="339"/>
    </row>
    <row r="703" ht="19.5" customHeight="1">
      <c r="A703" s="387" t="s">
        <v>1774</v>
      </c>
      <c r="B703" s="388">
        <v>2000.0</v>
      </c>
      <c r="C703" s="389">
        <f t="shared" si="29"/>
        <v>1940</v>
      </c>
      <c r="D703" s="339"/>
    </row>
    <row r="704" ht="19.5" customHeight="1">
      <c r="A704" s="387" t="s">
        <v>1776</v>
      </c>
      <c r="B704" s="388">
        <v>2000.0</v>
      </c>
      <c r="C704" s="389">
        <f t="shared" si="29"/>
        <v>1940</v>
      </c>
      <c r="D704" s="339"/>
    </row>
    <row r="705" ht="19.5" customHeight="1">
      <c r="A705" s="387" t="s">
        <v>1777</v>
      </c>
      <c r="B705" s="388">
        <v>2000.0</v>
      </c>
      <c r="C705" s="389">
        <f t="shared" si="29"/>
        <v>1940</v>
      </c>
      <c r="D705" s="339"/>
    </row>
    <row r="706" ht="19.5" customHeight="1">
      <c r="A706" s="387" t="s">
        <v>1780</v>
      </c>
      <c r="B706" s="388">
        <v>2000.0</v>
      </c>
      <c r="C706" s="389">
        <f t="shared" si="29"/>
        <v>1940</v>
      </c>
      <c r="D706" s="339"/>
    </row>
    <row r="707" ht="19.5" customHeight="1">
      <c r="A707" s="387" t="s">
        <v>1781</v>
      </c>
      <c r="B707" s="388">
        <v>2000.0</v>
      </c>
      <c r="C707" s="389">
        <f t="shared" si="29"/>
        <v>1940</v>
      </c>
      <c r="D707" s="339"/>
    </row>
    <row r="708" ht="19.5" customHeight="1">
      <c r="A708" s="387" t="s">
        <v>1783</v>
      </c>
      <c r="B708" s="388">
        <v>2000.0</v>
      </c>
      <c r="C708" s="389">
        <f t="shared" si="29"/>
        <v>1940</v>
      </c>
      <c r="D708" s="339"/>
    </row>
    <row r="709" ht="30.75" customHeight="1">
      <c r="A709" s="390" t="s">
        <v>1785</v>
      </c>
      <c r="B709" s="391"/>
      <c r="C709" s="389"/>
      <c r="D709" s="339"/>
    </row>
    <row r="710" ht="20.25" customHeight="1">
      <c r="A710" s="387" t="s">
        <v>1788</v>
      </c>
      <c r="B710" s="388">
        <v>8900.0</v>
      </c>
      <c r="C710" s="389">
        <f>B710*0.97</f>
        <v>8633</v>
      </c>
      <c r="D710" s="339"/>
    </row>
    <row r="711" ht="14.25" customHeight="1">
      <c r="A711" s="392" t="s">
        <v>842</v>
      </c>
      <c r="B711" s="393"/>
      <c r="C711" s="394"/>
      <c r="D711" s="339"/>
    </row>
    <row r="712" ht="14.25" customHeight="1">
      <c r="A712" s="395" t="s">
        <v>8</v>
      </c>
      <c r="B712" s="396"/>
      <c r="C712" s="397"/>
      <c r="D712" s="339"/>
    </row>
    <row r="713" ht="14.25" customHeight="1">
      <c r="A713" s="398" t="s">
        <v>1795</v>
      </c>
      <c r="B713" s="399">
        <v>5900.0</v>
      </c>
      <c r="C713" s="400">
        <f t="shared" ref="C713:C727" si="30">B713*0.97</f>
        <v>5723</v>
      </c>
      <c r="D713" s="339"/>
    </row>
    <row r="714" ht="14.25" customHeight="1">
      <c r="A714" s="398" t="s">
        <v>1798</v>
      </c>
      <c r="B714" s="400">
        <v>6900.0</v>
      </c>
      <c r="C714" s="400">
        <f t="shared" si="30"/>
        <v>6693</v>
      </c>
      <c r="D714" s="339"/>
    </row>
    <row r="715" ht="14.25" customHeight="1">
      <c r="A715" s="398" t="s">
        <v>1800</v>
      </c>
      <c r="B715" s="400">
        <v>6900.0</v>
      </c>
      <c r="C715" s="400">
        <f t="shared" si="30"/>
        <v>6693</v>
      </c>
      <c r="D715" s="339"/>
    </row>
    <row r="716" ht="14.25" customHeight="1">
      <c r="A716" s="398" t="s">
        <v>1803</v>
      </c>
      <c r="B716" s="400">
        <v>6900.0</v>
      </c>
      <c r="C716" s="400">
        <f t="shared" si="30"/>
        <v>6693</v>
      </c>
      <c r="D716" s="339"/>
    </row>
    <row r="717" ht="14.25" customHeight="1">
      <c r="A717" s="398" t="s">
        <v>1804</v>
      </c>
      <c r="B717" s="400">
        <v>5900.0</v>
      </c>
      <c r="C717" s="400">
        <f t="shared" si="30"/>
        <v>5723</v>
      </c>
      <c r="D717" s="339"/>
    </row>
    <row r="718" ht="14.25" customHeight="1">
      <c r="A718" s="398" t="s">
        <v>1807</v>
      </c>
      <c r="B718" s="399">
        <v>8000.0</v>
      </c>
      <c r="C718" s="400">
        <f t="shared" si="30"/>
        <v>7760</v>
      </c>
      <c r="D718" s="339"/>
    </row>
    <row r="719" ht="14.25" customHeight="1">
      <c r="A719" s="398" t="s">
        <v>1808</v>
      </c>
      <c r="B719" s="400">
        <v>5900.0</v>
      </c>
      <c r="C719" s="400">
        <f t="shared" si="30"/>
        <v>5723</v>
      </c>
      <c r="D719" s="339"/>
    </row>
    <row r="720" ht="14.25" customHeight="1">
      <c r="A720" s="398" t="s">
        <v>1811</v>
      </c>
      <c r="B720" s="399">
        <v>5900.0</v>
      </c>
      <c r="C720" s="400">
        <f t="shared" si="30"/>
        <v>5723</v>
      </c>
      <c r="D720" s="339"/>
    </row>
    <row r="721" ht="14.25" customHeight="1">
      <c r="A721" s="398" t="s">
        <v>1813</v>
      </c>
      <c r="B721" s="399">
        <v>6900.0</v>
      </c>
      <c r="C721" s="400">
        <f t="shared" si="30"/>
        <v>6693</v>
      </c>
      <c r="D721" s="339"/>
    </row>
    <row r="722" ht="14.25" customHeight="1">
      <c r="A722" s="398" t="s">
        <v>1815</v>
      </c>
      <c r="B722" s="399">
        <v>8000.0</v>
      </c>
      <c r="C722" s="400">
        <f t="shared" si="30"/>
        <v>7760</v>
      </c>
      <c r="D722" s="339"/>
    </row>
    <row r="723" ht="14.25" customHeight="1">
      <c r="A723" s="398" t="s">
        <v>1816</v>
      </c>
      <c r="B723" s="399">
        <v>15000.0</v>
      </c>
      <c r="C723" s="400">
        <f t="shared" si="30"/>
        <v>14550</v>
      </c>
      <c r="D723" s="339"/>
    </row>
    <row r="724" ht="14.25" customHeight="1">
      <c r="A724" s="398" t="s">
        <v>1819</v>
      </c>
      <c r="B724" s="399">
        <v>15000.0</v>
      </c>
      <c r="C724" s="400">
        <f t="shared" si="30"/>
        <v>14550</v>
      </c>
      <c r="D724" s="339"/>
    </row>
    <row r="725" ht="14.25" customHeight="1">
      <c r="A725" s="398" t="s">
        <v>1821</v>
      </c>
      <c r="B725" s="399">
        <v>15000.0</v>
      </c>
      <c r="C725" s="400">
        <f t="shared" si="30"/>
        <v>14550</v>
      </c>
      <c r="D725" s="339"/>
    </row>
    <row r="726" ht="14.25" customHeight="1">
      <c r="A726" s="398" t="s">
        <v>1823</v>
      </c>
      <c r="B726" s="399">
        <v>15000.0</v>
      </c>
      <c r="C726" s="400">
        <f t="shared" si="30"/>
        <v>14550</v>
      </c>
      <c r="D726" s="339"/>
    </row>
    <row r="727" ht="14.25" customHeight="1">
      <c r="A727" s="398" t="s">
        <v>1826</v>
      </c>
      <c r="B727" s="399">
        <v>15000.0</v>
      </c>
      <c r="C727" s="400">
        <f t="shared" si="30"/>
        <v>14550</v>
      </c>
      <c r="D727" s="339"/>
    </row>
    <row r="728" ht="14.25" customHeight="1">
      <c r="A728" s="401" t="s">
        <v>376</v>
      </c>
      <c r="C728" s="348"/>
      <c r="D728" s="339"/>
    </row>
    <row r="729" ht="14.25" customHeight="1">
      <c r="A729" s="398" t="s">
        <v>1829</v>
      </c>
      <c r="B729" s="400">
        <v>3900.0</v>
      </c>
      <c r="C729" s="400">
        <f t="shared" ref="C729:C737" si="31">B729*0.97</f>
        <v>3783</v>
      </c>
      <c r="D729" s="339"/>
    </row>
    <row r="730" ht="14.25" customHeight="1">
      <c r="A730" s="398" t="s">
        <v>1832</v>
      </c>
      <c r="B730" s="400">
        <v>3900.0</v>
      </c>
      <c r="C730" s="400">
        <f t="shared" si="31"/>
        <v>3783</v>
      </c>
      <c r="D730" s="339"/>
    </row>
    <row r="731" ht="14.25" customHeight="1">
      <c r="A731" s="398" t="s">
        <v>1833</v>
      </c>
      <c r="B731" s="399">
        <v>3900.0</v>
      </c>
      <c r="C731" s="400">
        <f t="shared" si="31"/>
        <v>3783</v>
      </c>
      <c r="D731" s="339"/>
    </row>
    <row r="732" ht="14.25" customHeight="1">
      <c r="A732" s="398" t="s">
        <v>1836</v>
      </c>
      <c r="B732" s="399">
        <v>3900.0</v>
      </c>
      <c r="C732" s="400">
        <f t="shared" si="31"/>
        <v>3783</v>
      </c>
      <c r="D732" s="339"/>
    </row>
    <row r="733" ht="14.25" customHeight="1">
      <c r="A733" s="398" t="s">
        <v>1837</v>
      </c>
      <c r="B733" s="399">
        <v>3900.0</v>
      </c>
      <c r="C733" s="400">
        <f t="shared" si="31"/>
        <v>3783</v>
      </c>
      <c r="D733" s="339"/>
    </row>
    <row r="734" ht="14.25" customHeight="1">
      <c r="A734" s="398" t="s">
        <v>1839</v>
      </c>
      <c r="B734" s="399">
        <v>3900.0</v>
      </c>
      <c r="C734" s="400">
        <f t="shared" si="31"/>
        <v>3783</v>
      </c>
      <c r="D734" s="339"/>
    </row>
    <row r="735" ht="14.25" customHeight="1">
      <c r="A735" s="398" t="s">
        <v>1841</v>
      </c>
      <c r="B735" s="399">
        <v>3900.0</v>
      </c>
      <c r="C735" s="400">
        <f t="shared" si="31"/>
        <v>3783</v>
      </c>
      <c r="D735" s="339"/>
    </row>
    <row r="736" ht="14.25" customHeight="1">
      <c r="A736" s="398" t="s">
        <v>1842</v>
      </c>
      <c r="B736" s="399">
        <v>3900.0</v>
      </c>
      <c r="C736" s="400">
        <f t="shared" si="31"/>
        <v>3783</v>
      </c>
      <c r="D736" s="339"/>
    </row>
    <row r="737" ht="14.25" customHeight="1">
      <c r="A737" s="398" t="s">
        <v>1845</v>
      </c>
      <c r="B737" s="399">
        <v>3900.0</v>
      </c>
      <c r="C737" s="400">
        <f t="shared" si="31"/>
        <v>3783</v>
      </c>
      <c r="D737" s="339"/>
    </row>
    <row r="738" ht="24.75" customHeight="1">
      <c r="A738" s="403" t="s">
        <v>1650</v>
      </c>
      <c r="B738" s="16"/>
      <c r="C738" s="17"/>
      <c r="D738" s="339"/>
    </row>
    <row r="739" ht="18.75" customHeight="1">
      <c r="A739" s="398" t="s">
        <v>1848</v>
      </c>
      <c r="B739" s="399">
        <v>3000.0</v>
      </c>
      <c r="C739" s="400">
        <f t="shared" ref="C739:C749" si="32">B739*0.97</f>
        <v>2910</v>
      </c>
      <c r="D739" s="339"/>
    </row>
    <row r="740" ht="18.75" customHeight="1">
      <c r="A740" s="398" t="s">
        <v>1851</v>
      </c>
      <c r="B740" s="399">
        <v>3000.0</v>
      </c>
      <c r="C740" s="400">
        <f t="shared" si="32"/>
        <v>2910</v>
      </c>
      <c r="D740" s="339"/>
    </row>
    <row r="741" ht="18.75" customHeight="1">
      <c r="A741" s="398" t="s">
        <v>1852</v>
      </c>
      <c r="B741" s="399">
        <v>3500.0</v>
      </c>
      <c r="C741" s="400">
        <f t="shared" si="32"/>
        <v>3395</v>
      </c>
      <c r="D741" s="339"/>
    </row>
    <row r="742" ht="18.0" customHeight="1">
      <c r="A742" s="398" t="s">
        <v>1855</v>
      </c>
      <c r="B742" s="399">
        <v>2500.0</v>
      </c>
      <c r="C742" s="400">
        <f t="shared" si="32"/>
        <v>2425</v>
      </c>
      <c r="D742" s="339"/>
    </row>
    <row r="743" ht="18.0" customHeight="1">
      <c r="A743" s="398" t="s">
        <v>1857</v>
      </c>
      <c r="B743" s="399">
        <v>4500.0</v>
      </c>
      <c r="C743" s="400">
        <f t="shared" si="32"/>
        <v>4365</v>
      </c>
      <c r="D743" s="339"/>
    </row>
    <row r="744" ht="18.0" customHeight="1">
      <c r="A744" s="398" t="s">
        <v>1859</v>
      </c>
      <c r="B744" s="399">
        <v>9000.0</v>
      </c>
      <c r="C744" s="400">
        <f t="shared" si="32"/>
        <v>8730</v>
      </c>
      <c r="D744" s="339"/>
    </row>
    <row r="745" ht="18.0" customHeight="1">
      <c r="A745" s="398" t="s">
        <v>1855</v>
      </c>
      <c r="B745" s="399">
        <v>3500.0</v>
      </c>
      <c r="C745" s="400">
        <f t="shared" si="32"/>
        <v>3395</v>
      </c>
      <c r="D745" s="339"/>
    </row>
    <row r="746" ht="18.0" customHeight="1">
      <c r="A746" s="398" t="s">
        <v>1862</v>
      </c>
      <c r="B746" s="399">
        <v>3500.0</v>
      </c>
      <c r="C746" s="400">
        <f t="shared" si="32"/>
        <v>3395</v>
      </c>
      <c r="D746" s="339"/>
    </row>
    <row r="747" ht="18.0" customHeight="1">
      <c r="A747" s="398" t="s">
        <v>1863</v>
      </c>
      <c r="B747" s="399">
        <v>6500.0</v>
      </c>
      <c r="C747" s="400">
        <f t="shared" si="32"/>
        <v>6305</v>
      </c>
      <c r="D747" s="339"/>
    </row>
    <row r="748" ht="18.0" customHeight="1">
      <c r="A748" s="405" t="s">
        <v>1864</v>
      </c>
      <c r="B748" s="405">
        <v>8000.0</v>
      </c>
      <c r="C748" s="400">
        <f t="shared" si="32"/>
        <v>7760</v>
      </c>
      <c r="D748" s="339"/>
    </row>
    <row r="749" ht="18.0" customHeight="1">
      <c r="A749" s="405" t="s">
        <v>1865</v>
      </c>
      <c r="B749" s="405">
        <v>8000.0</v>
      </c>
      <c r="C749" s="400">
        <f t="shared" si="32"/>
        <v>7760</v>
      </c>
      <c r="D749" s="339"/>
    </row>
    <row r="750" ht="18.0" customHeight="1">
      <c r="A750" s="407"/>
      <c r="B750" s="407"/>
      <c r="C750" s="407"/>
      <c r="D750" s="339"/>
    </row>
    <row r="751" ht="24.0" customHeight="1">
      <c r="A751" s="403" t="s">
        <v>1868</v>
      </c>
      <c r="B751" s="16"/>
      <c r="C751" s="17"/>
      <c r="D751" s="339"/>
    </row>
    <row r="752" ht="18.0" customHeight="1">
      <c r="A752" s="398" t="s">
        <v>1869</v>
      </c>
      <c r="B752" s="399">
        <v>3000.0</v>
      </c>
      <c r="C752" s="400">
        <f t="shared" ref="C752:C763" si="33">B752*0.97</f>
        <v>2910</v>
      </c>
      <c r="D752" s="339"/>
    </row>
    <row r="753" ht="18.0" customHeight="1">
      <c r="A753" s="398" t="s">
        <v>1870</v>
      </c>
      <c r="B753" s="399">
        <v>3000.0</v>
      </c>
      <c r="C753" s="400">
        <f t="shared" si="33"/>
        <v>2910</v>
      </c>
      <c r="D753" s="339"/>
    </row>
    <row r="754" ht="18.0" customHeight="1">
      <c r="A754" s="398" t="s">
        <v>1872</v>
      </c>
      <c r="B754" s="399">
        <v>3000.0</v>
      </c>
      <c r="C754" s="400">
        <f t="shared" si="33"/>
        <v>2910</v>
      </c>
      <c r="D754" s="339"/>
    </row>
    <row r="755" ht="18.0" customHeight="1">
      <c r="A755" s="398" t="s">
        <v>1873</v>
      </c>
      <c r="B755" s="399">
        <v>3000.0</v>
      </c>
      <c r="C755" s="400">
        <f t="shared" si="33"/>
        <v>2910</v>
      </c>
      <c r="D755" s="339"/>
    </row>
    <row r="756" ht="18.0" customHeight="1">
      <c r="A756" s="398" t="s">
        <v>1874</v>
      </c>
      <c r="B756" s="399">
        <v>3000.0</v>
      </c>
      <c r="C756" s="400">
        <f t="shared" si="33"/>
        <v>2910</v>
      </c>
      <c r="D756" s="339"/>
    </row>
    <row r="757" ht="18.0" customHeight="1">
      <c r="A757" s="398" t="s">
        <v>1877</v>
      </c>
      <c r="B757" s="399">
        <v>3000.0</v>
      </c>
      <c r="C757" s="400">
        <f t="shared" si="33"/>
        <v>2910</v>
      </c>
      <c r="D757" s="339"/>
    </row>
    <row r="758" ht="18.0" customHeight="1">
      <c r="A758" s="398" t="s">
        <v>1878</v>
      </c>
      <c r="B758" s="399">
        <v>3000.0</v>
      </c>
      <c r="C758" s="400">
        <f t="shared" si="33"/>
        <v>2910</v>
      </c>
      <c r="D758" s="339"/>
    </row>
    <row r="759" ht="18.0" customHeight="1">
      <c r="A759" s="398" t="s">
        <v>1880</v>
      </c>
      <c r="B759" s="399">
        <v>3000.0</v>
      </c>
      <c r="C759" s="400">
        <f t="shared" si="33"/>
        <v>2910</v>
      </c>
      <c r="D759" s="339"/>
    </row>
    <row r="760" ht="18.0" customHeight="1">
      <c r="A760" s="398" t="s">
        <v>1881</v>
      </c>
      <c r="B760" s="399">
        <v>3000.0</v>
      </c>
      <c r="C760" s="400">
        <f t="shared" si="33"/>
        <v>2910</v>
      </c>
      <c r="D760" s="339"/>
    </row>
    <row r="761" ht="18.0" customHeight="1">
      <c r="A761" s="398" t="s">
        <v>1884</v>
      </c>
      <c r="B761" s="399">
        <v>3500.0</v>
      </c>
      <c r="C761" s="400">
        <f t="shared" si="33"/>
        <v>3395</v>
      </c>
      <c r="D761" s="339"/>
    </row>
    <row r="762" ht="18.0" customHeight="1">
      <c r="A762" s="398" t="s">
        <v>1885</v>
      </c>
      <c r="B762" s="399">
        <v>3500.0</v>
      </c>
      <c r="C762" s="400">
        <f t="shared" si="33"/>
        <v>3395</v>
      </c>
      <c r="D762" s="339"/>
    </row>
    <row r="763" ht="18.0" customHeight="1">
      <c r="A763" s="398" t="s">
        <v>1888</v>
      </c>
      <c r="B763" s="399">
        <v>3500.0</v>
      </c>
      <c r="C763" s="400">
        <f t="shared" si="33"/>
        <v>3395</v>
      </c>
      <c r="D763" s="339"/>
    </row>
    <row r="764" ht="24.0" customHeight="1">
      <c r="A764" s="413" t="s">
        <v>1889</v>
      </c>
      <c r="B764" s="414"/>
      <c r="C764" s="415"/>
    </row>
    <row r="765" ht="14.25" customHeight="1">
      <c r="A765" s="416" t="s">
        <v>1249</v>
      </c>
      <c r="B765" s="417"/>
      <c r="C765" s="415"/>
    </row>
    <row r="766" ht="14.25" customHeight="1">
      <c r="A766" s="418" t="s">
        <v>1892</v>
      </c>
      <c r="B766" s="419">
        <v>3500.0</v>
      </c>
      <c r="C766" s="415">
        <f t="shared" ref="C766:C769" si="34">B766*0.97</f>
        <v>3395</v>
      </c>
    </row>
    <row r="767" ht="14.25" customHeight="1">
      <c r="A767" s="418" t="s">
        <v>1895</v>
      </c>
      <c r="B767" s="419">
        <v>3500.0</v>
      </c>
      <c r="C767" s="415">
        <f t="shared" si="34"/>
        <v>3395</v>
      </c>
    </row>
    <row r="768" ht="14.25" customHeight="1">
      <c r="A768" s="418" t="s">
        <v>1898</v>
      </c>
      <c r="B768" s="419">
        <v>3500.0</v>
      </c>
      <c r="C768" s="415">
        <f t="shared" si="34"/>
        <v>3395</v>
      </c>
    </row>
    <row r="769" ht="14.25" customHeight="1">
      <c r="A769" s="418" t="s">
        <v>1899</v>
      </c>
      <c r="B769" s="419">
        <v>3500.0</v>
      </c>
      <c r="C769" s="415">
        <f t="shared" si="34"/>
        <v>3395</v>
      </c>
    </row>
    <row r="770" ht="14.25" customHeight="1">
      <c r="A770" s="418"/>
      <c r="B770" s="419"/>
      <c r="C770" s="419"/>
    </row>
    <row r="771" ht="20.25" customHeight="1">
      <c r="A771" s="420" t="s">
        <v>8</v>
      </c>
      <c r="B771" s="278"/>
      <c r="C771" s="279"/>
    </row>
    <row r="772" ht="14.25" customHeight="1">
      <c r="A772" s="421" t="s">
        <v>1904</v>
      </c>
      <c r="B772" s="251">
        <v>3900.0</v>
      </c>
      <c r="C772" s="251">
        <f t="shared" ref="C772:C773" si="35">B772*0.95</f>
        <v>3705</v>
      </c>
    </row>
    <row r="773" ht="14.25" customHeight="1">
      <c r="A773" s="422" t="s">
        <v>1906</v>
      </c>
      <c r="B773" s="423">
        <v>6500.0</v>
      </c>
      <c r="C773" s="423">
        <f t="shared" si="35"/>
        <v>6175</v>
      </c>
    </row>
    <row r="774" ht="14.25" customHeight="1">
      <c r="A774" s="421" t="s">
        <v>1908</v>
      </c>
      <c r="B774" s="251">
        <v>8500.0</v>
      </c>
      <c r="C774" s="251">
        <f t="shared" ref="C774:C782" si="36">B774*0.97</f>
        <v>8245</v>
      </c>
    </row>
    <row r="775" ht="14.25" customHeight="1">
      <c r="A775" s="425" t="s">
        <v>1909</v>
      </c>
      <c r="B775" s="423">
        <v>15000.0</v>
      </c>
      <c r="C775" s="423">
        <f t="shared" si="36"/>
        <v>14550</v>
      </c>
    </row>
    <row r="776" ht="14.25" customHeight="1">
      <c r="A776" s="421" t="s">
        <v>1911</v>
      </c>
      <c r="B776" s="251">
        <v>8000.0</v>
      </c>
      <c r="C776" s="251">
        <f t="shared" si="36"/>
        <v>7760</v>
      </c>
    </row>
    <row r="777" ht="14.25" customHeight="1">
      <c r="A777" s="422" t="s">
        <v>1914</v>
      </c>
      <c r="B777" s="423">
        <v>8500.0</v>
      </c>
      <c r="C777" s="423">
        <f t="shared" si="36"/>
        <v>8245</v>
      </c>
    </row>
    <row r="778" ht="14.25" customHeight="1">
      <c r="A778" s="421" t="s">
        <v>1915</v>
      </c>
      <c r="B778" s="251">
        <v>8500.0</v>
      </c>
      <c r="C778" s="251">
        <f t="shared" si="36"/>
        <v>8245</v>
      </c>
    </row>
    <row r="779" ht="14.25" customHeight="1">
      <c r="A779" s="422" t="s">
        <v>1918</v>
      </c>
      <c r="B779" s="423">
        <v>8500.0</v>
      </c>
      <c r="C779" s="423">
        <f t="shared" si="36"/>
        <v>8245</v>
      </c>
    </row>
    <row r="780" ht="14.25" customHeight="1">
      <c r="A780" s="421" t="s">
        <v>1919</v>
      </c>
      <c r="B780" s="251">
        <v>7500.0</v>
      </c>
      <c r="C780" s="251">
        <f t="shared" si="36"/>
        <v>7275</v>
      </c>
    </row>
    <row r="781" ht="14.25" customHeight="1">
      <c r="A781" s="422" t="s">
        <v>1922</v>
      </c>
      <c r="B781" s="423">
        <v>7500.0</v>
      </c>
      <c r="C781" s="423">
        <f t="shared" si="36"/>
        <v>7275</v>
      </c>
    </row>
    <row r="782" ht="14.25" customHeight="1">
      <c r="A782" s="426" t="s">
        <v>1923</v>
      </c>
      <c r="B782" s="427">
        <v>15000.0</v>
      </c>
      <c r="C782" s="427">
        <f t="shared" si="36"/>
        <v>14550</v>
      </c>
    </row>
    <row r="783" ht="14.25" customHeight="1">
      <c r="A783" s="422" t="s">
        <v>1925</v>
      </c>
      <c r="B783" s="423">
        <v>8500.0</v>
      </c>
      <c r="C783" s="423">
        <f>B783*0.95</f>
        <v>8075</v>
      </c>
    </row>
    <row r="784" ht="37.5" customHeight="1">
      <c r="A784" s="428" t="s">
        <v>1928</v>
      </c>
      <c r="B784" s="239"/>
      <c r="C784" s="241"/>
      <c r="F784" s="429"/>
      <c r="G784" s="429"/>
    </row>
    <row r="785" ht="14.25" customHeight="1">
      <c r="A785" s="430" t="s">
        <v>1930</v>
      </c>
      <c r="B785" s="431">
        <v>8500.0</v>
      </c>
      <c r="C785" s="431">
        <f t="shared" ref="C785:C802" si="37">B785*0.97</f>
        <v>8245</v>
      </c>
      <c r="F785" s="429"/>
      <c r="G785" s="429"/>
    </row>
    <row r="786" ht="14.25" customHeight="1">
      <c r="A786" s="432" t="s">
        <v>1932</v>
      </c>
      <c r="B786" s="433">
        <v>9000.0</v>
      </c>
      <c r="C786" s="433">
        <f t="shared" si="37"/>
        <v>8730</v>
      </c>
    </row>
    <row r="787" ht="14.25" customHeight="1">
      <c r="A787" s="430" t="s">
        <v>1933</v>
      </c>
      <c r="B787" s="431">
        <v>9000.0</v>
      </c>
      <c r="C787" s="431">
        <f t="shared" si="37"/>
        <v>8730</v>
      </c>
    </row>
    <row r="788" ht="14.25" customHeight="1">
      <c r="A788" s="432" t="s">
        <v>1936</v>
      </c>
      <c r="B788" s="433">
        <v>9000.0</v>
      </c>
      <c r="C788" s="433">
        <f t="shared" si="37"/>
        <v>8730</v>
      </c>
    </row>
    <row r="789" ht="14.25" customHeight="1">
      <c r="A789" s="434" t="s">
        <v>1937</v>
      </c>
      <c r="B789" s="435">
        <v>10500.0</v>
      </c>
      <c r="C789" s="435">
        <f t="shared" si="37"/>
        <v>10185</v>
      </c>
    </row>
    <row r="790" ht="14.25" customHeight="1">
      <c r="A790" s="436" t="s">
        <v>1940</v>
      </c>
      <c r="B790" s="427">
        <v>9000.0</v>
      </c>
      <c r="C790" s="427">
        <f t="shared" si="37"/>
        <v>8730</v>
      </c>
    </row>
    <row r="791" ht="14.25" customHeight="1">
      <c r="A791" s="434" t="s">
        <v>1941</v>
      </c>
      <c r="B791" s="435">
        <v>8500.0</v>
      </c>
      <c r="C791" s="435">
        <f t="shared" si="37"/>
        <v>8245</v>
      </c>
    </row>
    <row r="792" ht="14.25" customHeight="1">
      <c r="A792" s="436" t="s">
        <v>1942</v>
      </c>
      <c r="B792" s="427">
        <v>9000.0</v>
      </c>
      <c r="C792" s="427">
        <f t="shared" si="37"/>
        <v>8730</v>
      </c>
    </row>
    <row r="793" ht="14.25" customHeight="1">
      <c r="A793" s="434" t="s">
        <v>1945</v>
      </c>
      <c r="B793" s="435">
        <v>10500.0</v>
      </c>
      <c r="C793" s="435">
        <f t="shared" si="37"/>
        <v>10185</v>
      </c>
    </row>
    <row r="794" ht="14.25" customHeight="1">
      <c r="A794" s="436" t="s">
        <v>1946</v>
      </c>
      <c r="B794" s="427">
        <v>8500.0</v>
      </c>
      <c r="C794" s="427">
        <f t="shared" si="37"/>
        <v>8245</v>
      </c>
    </row>
    <row r="795" ht="14.25" customHeight="1">
      <c r="A795" s="439" t="s">
        <v>1948</v>
      </c>
      <c r="B795" s="423">
        <v>8500.0</v>
      </c>
      <c r="C795" s="423">
        <f t="shared" si="37"/>
        <v>8245</v>
      </c>
    </row>
    <row r="796" ht="14.25" customHeight="1">
      <c r="A796" s="440" t="s">
        <v>1949</v>
      </c>
      <c r="B796" s="441">
        <v>8500.0</v>
      </c>
      <c r="C796" s="441">
        <f t="shared" si="37"/>
        <v>8245</v>
      </c>
    </row>
    <row r="797" ht="14.25" customHeight="1">
      <c r="A797" s="442" t="s">
        <v>1951</v>
      </c>
      <c r="B797" s="443">
        <v>9000.0</v>
      </c>
      <c r="C797" s="443">
        <f t="shared" si="37"/>
        <v>8730</v>
      </c>
    </row>
    <row r="798" ht="14.25" customHeight="1">
      <c r="A798" s="444" t="s">
        <v>1952</v>
      </c>
      <c r="B798" s="445">
        <v>7500.0</v>
      </c>
      <c r="C798" s="445">
        <f t="shared" si="37"/>
        <v>7275</v>
      </c>
    </row>
    <row r="799" ht="14.25" customHeight="1">
      <c r="A799" s="446" t="s">
        <v>1955</v>
      </c>
      <c r="B799" s="447">
        <v>12000.0</v>
      </c>
      <c r="C799" s="447">
        <f t="shared" si="37"/>
        <v>11640</v>
      </c>
    </row>
    <row r="800" ht="14.25" customHeight="1">
      <c r="A800" s="444" t="s">
        <v>1958</v>
      </c>
      <c r="B800" s="445">
        <v>25500.0</v>
      </c>
      <c r="C800" s="445">
        <f t="shared" si="37"/>
        <v>24735</v>
      </c>
    </row>
    <row r="801" ht="14.25" customHeight="1">
      <c r="A801" s="446" t="s">
        <v>1961</v>
      </c>
      <c r="B801" s="447">
        <v>13500.0</v>
      </c>
      <c r="C801" s="447">
        <f t="shared" si="37"/>
        <v>13095</v>
      </c>
    </row>
    <row r="802" ht="14.25" customHeight="1">
      <c r="A802" s="444" t="s">
        <v>1963</v>
      </c>
      <c r="B802" s="445">
        <v>8000.0</v>
      </c>
      <c r="C802" s="445">
        <f t="shared" si="37"/>
        <v>7760</v>
      </c>
    </row>
    <row r="803" ht="14.25" customHeight="1">
      <c r="A803" s="439"/>
      <c r="B803" s="435"/>
      <c r="C803" s="435"/>
    </row>
    <row r="804" ht="14.25" customHeight="1">
      <c r="A804" s="421"/>
      <c r="B804" s="251"/>
      <c r="C804" s="251"/>
    </row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</sheetData>
  <mergeCells count="33">
    <mergeCell ref="A1:D1"/>
    <mergeCell ref="A2:C2"/>
    <mergeCell ref="D2:D3"/>
    <mergeCell ref="A92:C92"/>
    <mergeCell ref="A112:C114"/>
    <mergeCell ref="A168:C168"/>
    <mergeCell ref="A222:C222"/>
    <mergeCell ref="A467:C467"/>
    <mergeCell ref="A514:C514"/>
    <mergeCell ref="A516:C516"/>
    <mergeCell ref="A523:C523"/>
    <mergeCell ref="A524:C524"/>
    <mergeCell ref="A533:C533"/>
    <mergeCell ref="A537:C537"/>
    <mergeCell ref="A551:C551"/>
    <mergeCell ref="A552:C552"/>
    <mergeCell ref="A579:C579"/>
    <mergeCell ref="A590:C590"/>
    <mergeCell ref="A594:C594"/>
    <mergeCell ref="A598:C598"/>
    <mergeCell ref="A620:C620"/>
    <mergeCell ref="A728:C728"/>
    <mergeCell ref="A738:C738"/>
    <mergeCell ref="A751:C751"/>
    <mergeCell ref="A771:C771"/>
    <mergeCell ref="A784:C784"/>
    <mergeCell ref="A631:C631"/>
    <mergeCell ref="A632:C632"/>
    <mergeCell ref="A660:C660"/>
    <mergeCell ref="A665:C665"/>
    <mergeCell ref="A686:C686"/>
    <mergeCell ref="A711:C711"/>
    <mergeCell ref="A712:C712"/>
  </mergeCells>
  <conditionalFormatting sqref="A42:C42">
    <cfRule type="notContainsBlanks" dxfId="7" priority="1">
      <formula>LEN(TRIM(A42))&gt;0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2024-11-12T15:15:36Z</dcterms:created>
  <dc:creator>Tomas Valentin Nozikovsky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0x010100DD1D54D7E5C2344DA2064C683884DFE5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